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publishItems="1"/>
  <mc:AlternateContent xmlns:mc="http://schemas.openxmlformats.org/markup-compatibility/2006">
    <mc:Choice Requires="x15">
      <x15ac:absPath xmlns:x15ac="http://schemas.microsoft.com/office/spreadsheetml/2010/11/ac" url="C:\Users\ADMIN\Desktop\desktop_folder\Completed Workbooks\"/>
    </mc:Choice>
  </mc:AlternateContent>
  <xr:revisionPtr revIDLastSave="0" documentId="13_ncr:1_{EB385CB8-3335-4F44-8D90-147B5E62EEC0}" xr6:coauthVersionLast="47" xr6:coauthVersionMax="47" xr10:uidLastSave="{00000000-0000-0000-0000-000000000000}"/>
  <bookViews>
    <workbookView xWindow="-108" yWindow="-108" windowWidth="23256" windowHeight="13176" activeTab="2" xr2:uid="{DB438AB8-0F60-4224-9C67-97043B861F24}"/>
  </bookViews>
  <sheets>
    <sheet name="Data" sheetId="1" r:id="rId1"/>
    <sheet name="Data Prep" sheetId="3" r:id="rId2"/>
    <sheet name="Dashboard" sheetId="4" r:id="rId3"/>
  </sheets>
  <definedNames>
    <definedName name="_xlnm._FilterDatabase" localSheetId="0" hidden="1">Data!$A$1:$F$1919</definedName>
    <definedName name="_xlnm._FilterDatabase" localSheetId="1" hidden="1">'Data Prep'!$D$2:$E$12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_xlchart.v5.4" hidden="1">'Data Prep'!$O$2</definedName>
    <definedName name="_xlchart.v5.5" hidden="1">'Data Prep'!$O$3:$O$50</definedName>
    <definedName name="_xlchart.v5.6" hidden="1">'Data Prep'!$T$2</definedName>
    <definedName name="_xlchart.v5.7" hidden="1">'Data Prep'!$T$3:$T$50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ShowAllWorksheets" guid="{A1F01C08-243B-48FC-94A8-F102AEB1706D}" maximized="1" xWindow="-8" yWindow="-8" windowWidth="1936" windowHeight="1056" activeSheetId="8" showFormulaBar="0"/>
    <customWorkbookView name="Dashboard" guid="{948164EF-B902-4A6C-8E3C-A935061C5153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T2" i="3" s="1"/>
  <c r="B6" i="4" a="1"/>
  <c r="B6" i="4" s="1"/>
  <c r="B3" i="3" s="1"/>
  <c r="S11" i="3" s="1"/>
  <c r="D15" i="3"/>
  <c r="F3" i="3" l="1"/>
  <c r="F11" i="3"/>
  <c r="F10" i="3"/>
  <c r="F12" i="3"/>
  <c r="F9" i="3"/>
  <c r="F8" i="3"/>
  <c r="F7" i="3"/>
  <c r="F6" i="3"/>
  <c r="F5" i="3"/>
  <c r="F4" i="3"/>
  <c r="S9" i="3"/>
  <c r="S50" i="3"/>
  <c r="S26" i="3"/>
  <c r="S49" i="3"/>
  <c r="S25" i="3"/>
  <c r="S17" i="3"/>
  <c r="S48" i="3"/>
  <c r="S16" i="3"/>
  <c r="S39" i="3"/>
  <c r="S15" i="3"/>
  <c r="S30" i="3"/>
  <c r="S6" i="3"/>
  <c r="S45" i="3"/>
  <c r="S37" i="3"/>
  <c r="S29" i="3"/>
  <c r="S21" i="3"/>
  <c r="S13" i="3"/>
  <c r="S5" i="3"/>
  <c r="S34" i="3"/>
  <c r="S10" i="3"/>
  <c r="S33" i="3"/>
  <c r="S32" i="3"/>
  <c r="S8" i="3"/>
  <c r="S31" i="3"/>
  <c r="S23" i="3"/>
  <c r="S38" i="3"/>
  <c r="S22" i="3"/>
  <c r="S14" i="3"/>
  <c r="S44" i="3"/>
  <c r="S36" i="3"/>
  <c r="S28" i="3"/>
  <c r="S20" i="3"/>
  <c r="S12" i="3"/>
  <c r="S4" i="3"/>
  <c r="S42" i="3"/>
  <c r="S18" i="3"/>
  <c r="S41" i="3"/>
  <c r="S40" i="3"/>
  <c r="S24" i="3"/>
  <c r="S47" i="3"/>
  <c r="S7" i="3"/>
  <c r="S46" i="3"/>
  <c r="S3" i="3"/>
  <c r="S43" i="3"/>
  <c r="S35" i="3"/>
  <c r="S27" i="3"/>
  <c r="S19" i="3"/>
  <c r="P4" i="3" l="1"/>
  <c r="R4" i="3" s="1"/>
  <c r="T4" i="3" s="1"/>
  <c r="P5" i="3"/>
  <c r="R5" i="3" s="1"/>
  <c r="T5" i="3" s="1"/>
  <c r="P6" i="3"/>
  <c r="R6" i="3" s="1"/>
  <c r="T6" i="3" s="1"/>
  <c r="P7" i="3"/>
  <c r="R7" i="3" s="1"/>
  <c r="T7" i="3" s="1"/>
  <c r="P8" i="3"/>
  <c r="R8" i="3" s="1"/>
  <c r="T8" i="3" s="1"/>
  <c r="P9" i="3"/>
  <c r="R9" i="3" s="1"/>
  <c r="T9" i="3" s="1"/>
  <c r="P10" i="3"/>
  <c r="R10" i="3" s="1"/>
  <c r="T10" i="3" s="1"/>
  <c r="P11" i="3"/>
  <c r="R11" i="3" s="1"/>
  <c r="T11" i="3" s="1"/>
  <c r="P12" i="3"/>
  <c r="R12" i="3" s="1"/>
  <c r="T12" i="3" s="1"/>
  <c r="P13" i="3"/>
  <c r="R13" i="3" s="1"/>
  <c r="T13" i="3" s="1"/>
  <c r="P14" i="3"/>
  <c r="R14" i="3" s="1"/>
  <c r="T14" i="3" s="1"/>
  <c r="P15" i="3"/>
  <c r="R15" i="3" s="1"/>
  <c r="T15" i="3" s="1"/>
  <c r="P16" i="3"/>
  <c r="R16" i="3" s="1"/>
  <c r="T16" i="3" s="1"/>
  <c r="P17" i="3"/>
  <c r="R17" i="3" s="1"/>
  <c r="T17" i="3" s="1"/>
  <c r="P18" i="3"/>
  <c r="R18" i="3" s="1"/>
  <c r="T18" i="3" s="1"/>
  <c r="P19" i="3"/>
  <c r="R19" i="3" s="1"/>
  <c r="T19" i="3" s="1"/>
  <c r="P20" i="3"/>
  <c r="R20" i="3" s="1"/>
  <c r="T20" i="3" s="1"/>
  <c r="P21" i="3"/>
  <c r="R21" i="3" s="1"/>
  <c r="T21" i="3" s="1"/>
  <c r="P22" i="3"/>
  <c r="R22" i="3" s="1"/>
  <c r="T22" i="3" s="1"/>
  <c r="P23" i="3"/>
  <c r="R23" i="3" s="1"/>
  <c r="T23" i="3" s="1"/>
  <c r="P24" i="3"/>
  <c r="R24" i="3" s="1"/>
  <c r="T24" i="3" s="1"/>
  <c r="P25" i="3"/>
  <c r="R25" i="3" s="1"/>
  <c r="T25" i="3" s="1"/>
  <c r="P26" i="3"/>
  <c r="R26" i="3" s="1"/>
  <c r="T26" i="3" s="1"/>
  <c r="P27" i="3"/>
  <c r="R27" i="3" s="1"/>
  <c r="T27" i="3" s="1"/>
  <c r="P28" i="3"/>
  <c r="R28" i="3" s="1"/>
  <c r="T28" i="3" s="1"/>
  <c r="P29" i="3"/>
  <c r="R29" i="3" s="1"/>
  <c r="T29" i="3" s="1"/>
  <c r="P30" i="3"/>
  <c r="R30" i="3" s="1"/>
  <c r="T30" i="3" s="1"/>
  <c r="P31" i="3"/>
  <c r="R31" i="3" s="1"/>
  <c r="T31" i="3" s="1"/>
  <c r="P32" i="3"/>
  <c r="R32" i="3" s="1"/>
  <c r="T32" i="3" s="1"/>
  <c r="P33" i="3"/>
  <c r="R33" i="3" s="1"/>
  <c r="T33" i="3" s="1"/>
  <c r="P34" i="3"/>
  <c r="R34" i="3" s="1"/>
  <c r="T34" i="3" s="1"/>
  <c r="P35" i="3"/>
  <c r="R35" i="3" s="1"/>
  <c r="T35" i="3" s="1"/>
  <c r="P36" i="3"/>
  <c r="R36" i="3" s="1"/>
  <c r="T36" i="3" s="1"/>
  <c r="P37" i="3"/>
  <c r="R37" i="3" s="1"/>
  <c r="T37" i="3" s="1"/>
  <c r="P38" i="3"/>
  <c r="R38" i="3" s="1"/>
  <c r="T38" i="3" s="1"/>
  <c r="P39" i="3"/>
  <c r="R39" i="3" s="1"/>
  <c r="T39" i="3" s="1"/>
  <c r="P40" i="3"/>
  <c r="R40" i="3" s="1"/>
  <c r="T40" i="3" s="1"/>
  <c r="P41" i="3"/>
  <c r="R41" i="3" s="1"/>
  <c r="T41" i="3" s="1"/>
  <c r="P42" i="3"/>
  <c r="R42" i="3" s="1"/>
  <c r="T42" i="3" s="1"/>
  <c r="P43" i="3"/>
  <c r="R43" i="3" s="1"/>
  <c r="T43" i="3" s="1"/>
  <c r="P44" i="3"/>
  <c r="R44" i="3" s="1"/>
  <c r="T44" i="3" s="1"/>
  <c r="P45" i="3"/>
  <c r="R45" i="3" s="1"/>
  <c r="T45" i="3" s="1"/>
  <c r="P46" i="3"/>
  <c r="R46" i="3" s="1"/>
  <c r="T46" i="3" s="1"/>
  <c r="P47" i="3"/>
  <c r="R47" i="3" s="1"/>
  <c r="T47" i="3" s="1"/>
  <c r="P48" i="3"/>
  <c r="R48" i="3" s="1"/>
  <c r="T48" i="3" s="1"/>
  <c r="P49" i="3"/>
  <c r="R49" i="3" s="1"/>
  <c r="T49" i="3" s="1"/>
  <c r="P50" i="3"/>
  <c r="R50" i="3" s="1"/>
  <c r="T50" i="3" s="1"/>
  <c r="P3" i="3"/>
  <c r="R3" i="3" s="1"/>
  <c r="T3" i="3" s="1"/>
  <c r="M4" i="3"/>
  <c r="M5" i="3"/>
  <c r="M6" i="3"/>
  <c r="M3" i="3"/>
  <c r="L4" i="3"/>
  <c r="L5" i="3"/>
  <c r="L6" i="3"/>
  <c r="L3" i="3"/>
  <c r="H16" i="3"/>
  <c r="I9" i="3"/>
  <c r="I4" i="3"/>
  <c r="I8" i="3"/>
  <c r="I11" i="3"/>
  <c r="I6" i="3"/>
  <c r="I7" i="3"/>
  <c r="I12" i="3"/>
  <c r="I10" i="3"/>
  <c r="I3" i="3"/>
  <c r="I5" i="3"/>
  <c r="E7" i="3"/>
  <c r="E9" i="3"/>
  <c r="E4" i="3"/>
  <c r="E3" i="3"/>
  <c r="E12" i="3"/>
  <c r="E6" i="3"/>
  <c r="E8" i="3"/>
  <c r="E11" i="3"/>
  <c r="E10" i="3"/>
  <c r="E5" i="3"/>
  <c r="I16" i="3" l="1"/>
  <c r="I17" i="3" l="1"/>
  <c r="I1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<sst xmlns="http://schemas.openxmlformats.org/spreadsheetml/2006/main" count="3949" uniqueCount="81">
  <si>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</si>
  <si>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</si>
  <si>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</si>
  <si>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</si>
  <si>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</si>
  <si>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</si>
  <si>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</si>
  <si>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</si>
  <si>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</si>
  <si>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</si>
  <si>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</si>
  <si>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</si>
  <si>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</si>
  <si>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</si>
  <si>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</si>
  <si>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</si>
  <si>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</si>
  <si>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</si>
  <si>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</si>
  <si>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</si>
  <si>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</si>
  <si>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</si>
  <si>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</si>
  <si>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</si>
  <si>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</si>
  <si>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</si>
  <si>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</si>
  <si>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</si>
  <si>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</si>
  <si>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</si>
  <si>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</si>
  <si>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</si>
  <si>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</si>
  <si>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</si>
  <si>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</si>
  <si>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</si>
  <si>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</si>
  <si>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</si>
  <si>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</si>
  <si>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</si>
  <si>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</si>
  <si>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</si>
  <si>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</si>
  <si>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</si>
  <si>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</si>
  <si>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</si>
  <si>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</si>
  <si>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</si>
  <si>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</si>
  <si>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</si>
  <si>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</si>
  <si>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</si>
  <si>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</si>
  <si>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</si>
  <si>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</si>
  <si>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</si>
  <si>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</si>
  <si>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</si>
  <si>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</si>
  <si>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</si>
  <si>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</si>
  <si>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</si>
  <si>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</si>
  <si>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</si>
  <si>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</si>
  <si>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</si>
  <si>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</si>
  <si>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Current Year:</t>
  </si>
  <si>
    <t>Avg Wage</t>
  </si>
  <si>
    <t>AVG WAGE BY INDUSTRY</t>
  </si>
  <si>
    <t>EMPLOYEES BY INDUSTRY</t>
  </si>
  <si>
    <t>EMPLOYEES BY INDUSTRY (CLEAN)</t>
  </si>
  <si>
    <t>Others</t>
  </si>
  <si>
    <t>WAGE &amp; EMPLOYEE TRENDS</t>
  </si>
  <si>
    <t>COMPARISONS BY STATE</t>
  </si>
  <si>
    <t>Population</t>
  </si>
  <si>
    <t>Employees per 1000 Capita</t>
  </si>
  <si>
    <t>Average Wages</t>
  </si>
  <si>
    <t>MAP FILTER</t>
  </si>
  <si>
    <t>Metric:</t>
  </si>
  <si>
    <t>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</si>
</sst>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"/>
    <numFmt numFmtId="165" formatCode="#,##0;&quot;$&quot;#,##0"/>
    <numFmt numFmtId="166" formatCode=";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 tint="0.249977111117893"/>
      <name val="Calibri"/>
      <family val="2"/>
      <scheme val="minor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3" borderId="0" xfId="0" applyFont="1" applyFill="1"/>
    <xf numFmtId="0" fontId="2" fillId="4" borderId="0" xfId="0" applyFont="1" applyFill="1" applyAlignment="1">
      <alignment horizontal="centerContinuous"/>
    </xf>
    <xf numFmtId="0" fontId="1" fillId="5" borderId="0" xfId="0" applyFont="1" applyFill="1"/>
    <xf numFmtId="0" fontId="2" fillId="6" borderId="0" xfId="0" applyFont="1" applyFill="1" applyAlignment="1">
      <alignment horizontal="centerContinuous"/>
    </xf>
    <xf numFmtId="1" fontId="0" fillId="0" borderId="0" xfId="0" applyNumberFormat="1"/>
    <xf numFmtId="165" fontId="0" fillId="0" borderId="0" xfId="0" applyNumberFormat="1"/>
    <xf numFmtId="0" fontId="4" fillId="7" borderId="0" xfId="0" applyFont="1" applyFill="1" applyAlignment="1">
      <alignment horizontal="center"/>
    </xf>
    <xf numFmtId="9" fontId="0" fillId="0" borderId="0" xfId="1" applyFont="1" applyAlignment="1">
      <alignment horizontal="left"/>
    </xf>
    <xf numFmtId="166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1C28BF80-241E-4762-93C0-8AAAB6EE4E9F}"/>
  </tableStyles>
  <colors>
    <mruColors>
      <color rgb="FF269999"/>
      <color rgb="FFB2DBD5"/>
      <color rgb="FFEE0000"/>
      <color rgb="FFFF7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0" Type="http://schemas.microsoft.com/office/2017/06/relationships/richStyles" Target="richData/richStyl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3287242291871"/>
          <c:y val="8.5769980506822607E-2"/>
          <c:w val="0.84584893140577677"/>
          <c:h val="0.711605347577166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12378010</c:v>
                </c:pt>
                <c:pt idx="1">
                  <c:v>12619732</c:v>
                </c:pt>
                <c:pt idx="2">
                  <c:v>12747753</c:v>
                </c:pt>
                <c:pt idx="3">
                  <c:v>12058694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1-43C7-91C9-AA5FFA314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425833104"/>
        <c:axId val="1425840592"/>
      </c:barChart>
      <c:catAx>
        <c:axId val="14258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40592"/>
        <c:crosses val="autoZero"/>
        <c:auto val="1"/>
        <c:lblAlgn val="ctr"/>
        <c:lblOffset val="100"/>
        <c:noMultiLvlLbl val="0"/>
      </c:catAx>
      <c:valAx>
        <c:axId val="1425840592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Employees</a:t>
                </a:r>
              </a:p>
            </c:rich>
          </c:tx>
          <c:layout>
            <c:manualLayout>
              <c:xMode val="edge"/>
              <c:yMode val="edge"/>
              <c:x val="2.7338545381649672E-2"/>
              <c:y val="0.140691624073306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4089765328006"/>
          <c:y val="0.23333333333333334"/>
          <c:w val="0.84639459890522539"/>
          <c:h val="0.64444444444444449"/>
        </c:manualLayout>
      </c:layout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"$"#,##0</c:formatCode>
                <c:ptCount val="4"/>
                <c:pt idx="0">
                  <c:v>62625.291666666664</c:v>
                </c:pt>
                <c:pt idx="1">
                  <c:v>64166.541666666664</c:v>
                </c:pt>
                <c:pt idx="2">
                  <c:v>65480.25</c:v>
                </c:pt>
                <c:pt idx="3">
                  <c:v>68427.875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5-4778-AB73-34DFD1F82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833104"/>
        <c:axId val="1425840592"/>
      </c:lineChart>
      <c:catAx>
        <c:axId val="1425833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840592"/>
        <c:crosses val="autoZero"/>
        <c:auto val="1"/>
        <c:lblAlgn val="ctr"/>
        <c:lblOffset val="100"/>
        <c:noMultiLvlLbl val="0"/>
      </c:catAx>
      <c:valAx>
        <c:axId val="1425840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Wage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205599300087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4937916414293"/>
          <c:y val="4.4530314274617275E-2"/>
          <c:w val="0.37434485851723409"/>
          <c:h val="0.83849271564595629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D-445F-888A-0ECCDCEF21CB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D-445F-888A-0ECCDCEF21CB}"/>
              </c:ext>
            </c:extLst>
          </c:dPt>
          <c:cat>
            <c:strRef>
              <c:f>'Data Prep'!$H$16:$H$17</c:f>
              <c:strCache>
                <c:ptCount val="2"/>
                <c:pt idx="0">
                  <c:v>Manufacturing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12058694</c:v>
                </c:pt>
                <c:pt idx="1">
                  <c:v>104590645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AD-445F-888A-0ECCDCEF2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50B-9C69-17AE9E3DF3A2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68427.875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2-450B-9C69-17AE9E3D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74827776"/>
        <c:axId val="1774826528"/>
      </c:barChart>
      <c:catAx>
        <c:axId val="1774827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26528"/>
        <c:crosses val="autoZero"/>
        <c:auto val="1"/>
        <c:lblAlgn val="ctr"/>
        <c:lblOffset val="100"/>
        <c:noMultiLvlLbl val="0"/>
      </c:catAx>
      <c:valAx>
        <c:axId val="1774826528"/>
        <c:scaling>
          <c:orientation val="minMax"/>
        </c:scaling>
        <c:delete val="0"/>
        <c:axPos val="t"/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8CBFE0DF-41C4-4E3C-8FEB-FE0C2E154297}">
          <cx:tx>
            <cx:txData>
              <cx:f>_xlchart.v5.2</cx:f>
              <cx:v>Employees per 1000 Capita</cx:v>
            </cx:txData>
          </cx:tx>
          <cx:spPr>
            <a:solidFill>
              <a:schemeClr val="bg1"/>
            </a:solidFill>
          </cx:spPr>
          <cx:dataId val="0"/>
          <cx:layoutPr>
            <cx:regionLabelLayout val="none"/>
            <cx:geography cultureLanguage="en-US" cultureRegion="US" attribution="Powered by Bing">
              <cx:geoCache provider="{E9337A44-BEBE-4D9F-B70C-5C5E7DAFC167}">
                <cx:binary>1F1Zc6PIsv4rHf188VSxFHDizImYKhYJLd63fiFkW82+7/z6myC7JdPqaZ8Y37ihaAddQCUk9ZFr
ZaF/P7f/eg63m/xLG4Vx8a/n9s+vblmm//rjj+LZ3Uab4izynvOkSL6XZ89J9Efy/bv3vP3jJd80
Xuz8wSMs/vHsbvJy2379z7/has42WSbPm9JL4stqm3dX26IKy+Jvzh099WXzEnmx5hVl7j2X+M+v
d9s8SuLy65dtXHpld9Ol2z+/vuv09csf00v9dNsvIXBWVi9AK4pnSJZ4+CfwqqSoivj1S5jEzutp
TubPCOGJShRBEWRFReTt3utNBPQfYGhkZ/Pykm+LAh5o/P+A8B33cPzm65fnpIrLYdAcGL8/v97G
Xrl9+XJdbspt8fWLVyRs14ElwyPcXo/P/Mf7Yf/PvycHYBQmRw6QmQ7Z7079BMxf4eZpE23eBuef
AyPwZzIhIk+QAltJVvB7YBRypohIEHgkYF56u+8OlA8wcxyUH4QTUP5aniQo50G4cZNPRUU6kxRB
lGDQZUHhFcy/R0WVzySkCAgBXlNUPsLNcVj2lBNczhcnicvKe3Y9ZxO/vbX/XFpAjSmyKKuywmMk
iio/wUWRzmQBqbKqYlUUBEkFNbdToTuJ+QhHx7HZU06wWc1PEpu/cq9P4s9UZOIZrwo8yIqoilhE
ZAINxhhMjCipRJJkgmWsvofmAwwdR+YH4QSYv76dJDA323YD1u+zDL+Az0QiyCohWCIISQoY9kPD
r6pnAlgXWVRELCDlJ4n5LTvHQXklm0By83CSkKy3zZfHJA8+DxWRP1MFlRewIvOStBv1Q1Rk6Yzw
CImKxPMqqLmpsHyEo+PA7Ckn2KwfTxKbefzibT5Vj6lnYDzAhCBVEo94yuCQgY5TEFHh7OgAvL0W
OxPzAYaOI/ODcALMfH2SwPyVB5u4+FRVBsZfVRXwyQgmYP8H434oNCp/JgoqlsC+KAQLgNJ7ZD7C
0XFo9pQTbP66Okls1kleul/YJk9C71NlB9xmQRVkSUASln8OZmT1DCuSyIsKEokiT8KZj3N1HKUp
/QSrNTtNrMD4WNu82HZvb/MnuNHoDAuDghMQEVQCtv+9JMniGZHB9iD4RwTyk682GJHf8/QLlA5o
pwhZJ4kQS8Ik37wkn4ePoJyBopMkJGIIQSEZM/WlEQiaCEGQQmQR1KE40XQf4eg4OnvKCTbs/CSx
ud8ULqTuyuQzg1D5TMRYkAnIzxj9HxohzKMzSQKPG4JPglU8heZjDB0H55B2As/9XycJz225cT9R
bCCW4SF7CWGOCmGoKAnv1doYgoLU8DyRyDRt8ztWjkOyo5qAcXuauU22Cb3vSR57n5kVkM94SSRE
xQr4y0fEBatnkAzgwd2WeFkQBeXtddh50x/j6Tg2h7QThNhpisu9VzwnceF9pjIDUy+ooMl2HvMg
FYfqTFEhoQYzBhKkdoakjTLB50McHYfngHSCzv1pptRYEsfb59J7rsq3l/gTXDV8JskSlmQMebNB
QqauGswf7DLUE2/6g9wcx+Yd8QQddprazdwmufOpqg2mzERwwSCFQyAdMDph70RHOBNFUZBFpIgi
9JEmU2ofYOg4OD8IJ8CYp6nUDPCevZdPtDm8ciaBxsI8eM74NXp5BwzkCRSQJB5meI4B8wGGjgPz
g3ACjHGa02rXSQVZAm0TJOUnogNTOCIYGxGyA7woIxlNnTSEzngBiSomAuTZwI1+U6Y7j+CjXB2H
6D31BKdr7SSd6PN863xqfCNAclohCgQxoLpUggCBQ/nZhTgKRuDY/ZTE+T0zx4F5o5tAcn6aCTZt
G26aTb59e3X/uR8gqGcIwWhD+myYDxjH/RAUmDEANAhkAxRFlIf45u3eO7H5CEfHkdlTTrDR9JMQ
l+e/rTI5nGd71/O/LLABfCBVA7lnHianwV+bpmxgng2BNkO8imGuDdKfE7U2KX75NVvHQZqQv3uS
06ismb9ADcfbO/vP5QXMjABlTDIvYqgV4BUVT5QYhsAHohoZiTwvEJgteLv36zTO79g5jsPrU0wk
ZX6ahmW18eJPVGGidCZAKgDSACAlvPiTXSHqGQ9TOyKCCo/BLxiKbt4Vb/yOneOQvD7FBJLVaSiv
d1xDYeA8hBmbxPvEAgER5gJASETINr8WMx2aFYj/sQieANQN7KrTJph8hJ/jsOwp3z0jPOJpesvz
pPlML5mHek2RSLIogtmQINn/Xn2pApgbhAgGmzMYG+m9qPyOmV9AMj7CFI6/TsLKv+MaBOV+W5Rf
7jwI+T83n6lA0D+Waf6UKUOQyIS0/2vM+ZNj/GGGjmMzIX/3uPC0dycJ0uKzKwQUiOwhpFehpFaB
CHMaW6oKOAUgTyA0igJzZ9Oymt/zcxycN7oJKovrk0RlvX3KN0XwmdoMkpi8DNIhw8zYGJ1MtJl6
BuEk4AbVHUdiyo8wdByYPeUEmvVpmv8F+EPVc9C9aft/7icLUMkMaWUeAn081NQMEzDvHAAJyp1k
8JJFIstHJmg+wtFxbPaUE2wWjycpNjdbSP8XxfYTPWZBguJ/kIoh8OdFcNImQQzUosGUGUywIUUF
p/qnoPJDLB1H54B0As/Nadajrbf15jOzzBDwCxKBZAwGzaZCfn9SWIsxgQATyqH2jvVhMPN7do7j
8kY3AWV9mg7AMqm84pPrN9EZTP5DrgwyMYRASfMEFxVDFSHkBPaF6m/KdBf4f4il49gckE7gWZ6m
E73a5F24iV/eRugTzA1UNg32RlKHbOZundmhuZHJmYwwLCT4US1wKDQf4ec4NHvKCTKr00zN3HcJ
rBh0Pg+YoSJdVWEJIIa6JQLrBaZJfwSOgjQU1UDNs8BD0uzt3jux+QBDx5H5QTgB5v40vYDVpig2
z25VbMvyM7M0/BlUyYCNJ9KYDpjCI8PiGgTQwJonoh5b+PRRto6DNHmqCVSr09Ruu7nA/4MqaJg/
g6pNqMpQYQnhkMicuNQILBC4bFCOJsljLdp7Ufo4X8fBmtJP0LpmJ+ler7zBvf7cqejBfYYSTQEc
hjehOTRGqniGVZizgVVtxyoGP8TRcYgOSCforE7Tu155RTH8pan39jJ/grMAtU08LLMFNw7kBQKh
SRIUktMw0YlhRaEq8mMR1Nu9dzbpg0z9CqKDJ5qCdJqJnQuIUIsurDefmhKFCQQFXIZh0e2P7M2h
FMnyGXxUQFEhifBjiuHQqfsoV8dhek89weniNA3T8N4mVf6ZkgSJTwLFA7Cg4EdRzSFGw9IpyO4c
zPP8LEm/4+g4PvtnmWCzOs0FBSv4LMenrjcU5bPBa4MUgjhUpaHpTA/k5GDKAarZIHPKDxk4cQLN
7xn6BTJvhFNgbk7SP7hy4SshX+bF58arIvjVPDhygxmCSk5egNE/FBzwu8Ehl1Vl/EjEZBbuoywd
x+c99QSkq/lJgjQsHJttohQW5XxmcZQonBFl8ASE18WFE0dhQEmWCQ+J1KN50g+zdRypCfkEqvXs
ZKFabVvv+ROLcgSo/eSHklxQaOPCQkgiHEoTRuQMg6QBThAeQX0h4HjoKgwD/Xuefg3SG+0UodVp
IjSu4v30+lxY3QZfjIDxhyQdVH4MhVHvMUJQaTh86YNHb+vj32H0Qa5+gdI76ilOp5mrO3e9T5Qh
cLdhVagEgassjGvcptkFCJpgGk+Cqjdp99mo9zL0O26O47KjmuBxfpqa7f+gKgRyo5C0frMuPxfn
QtUI1CRA1hQRsFBjcvVQZj7C0XFc9pQTbO7+n0KfX3977cfn6bRNudHH79odfH7t78+ODw8f25uQ
vhqHo5mG3fjOX/78CkWHPEwC/fhe3nCRd2blcOnnAcF2U5R/fuUGBxwiVygYgXIrCTxAcAEbqC4a
TkERKSJQ0yvB16iG6BfsVTxoMPjgHhRwgc8OJdnoxzpgCOqGUzDlDqVb6Mc3EqCS6O35LpKwg1r+
H4Pxuv8lrqKLxIvL4s+vPHyY7OuXdNdx4BZYEyF7hQT45hKECCos2Ifzz5srmB+A/vh/kizx3KRT
uhXBnEvDwElCCsFgah00iVzFIa29KrN2zWkHMTSFiMqV0RRBH7FE7i88V1JooSalGcsVi0ij3tWJ
1BhVIi6dLvPMuOMuXBk3s7xSlnnONZZoi4rO4f57m3DeRdz1OcNd55lFG/hGknOEcWLvUtI6MhNy
vjN92VlHfVNZjes/ulz/4GJfpqHdeLNU5AIaNK3JR1VmRLIqMvjyVGGGGQm0qAoQLbxG6tn4JEqk
xsn52ORwovTXY1OM+rBeKH3SaLVdFtTlUvJK4FXh21AcXGakOhilsdd4EBHF9Ioem5Xv1kiXezux
cJCR+mFs2lUTGqLo3kjDifHQuAkcPrFQHKdHj4lN6QNWA0ko2m9NkauDkI6U46mRfL87HtvfJh4J
x/2fmn9/9z2DY8vxUmneeXk7L5s8tZDipdbYqofdsbU/UQTo9di+nyOlYUgnJPvTI8m464ahy5AX
InasM9Q79v3uzMEVd0dHcsmR4T5j05Np3WfujtkJT/v77XmfPIo7vBQcL9banjZtRRj9cd+1FZ7F
aW3TtOvsgMbj1uv62GpEH97OsRmGSmyRKLNCJ0/M8dCuYzyc2HfZXWPsves0nN7vHpwOChfuVolB
Yu2aY6/J5cbdX58eb3HApVPaDnVVL2moGsYZ9bkstoLhUcaemcMpAVUbLtXyEtd0t5/AWuRdp7H7
uNtzrm81VyPpeGB/pZ6UcJFxPxwuP7b2lHHUqAHd0yhcRWgV8T7NXe5cSLnMKnGch1TaNys7zq0I
85k1nm/jKNBSmF2mDec4TMKBoNWVLGoNx9VaIF5GsERjjuOosGylKqzYK5ZyV3OGXHLdrPdalvYx
MKF4dmTtmhhHsSXBaAYUJfVbczzqlvJC9B3XHPfGzUg49tvvHlxyPDieHjvu6cZjNh/ULPFj18ic
XgF1HCVPdZe5Wm/ni75KBNAUoUihLNijdlh+UwYlPm6EogWlnoyqnQxHcZSnLAFbxMSqbaxG9VpL
lG0yi3ukBV227sXsJpHCTuPrXAZkozayiLTMo6Kbuz48vTI899jab8ZjMRFSLeH7mnLDePS5EPcs
ynxQ7LlwL/pZCHYCk5mbZ4LpuE1r2Q5sQoIzw+vxjRe1TUQVp0CWXds3kL6/LDy7Ymlellbp5QL1
mszTxt0oz6hYwlPwdeWzrg16y+ebMqKeghMW1H7FiJcmVsq3oFXzTDUdtTJKL2vmuLqThHojKBU2
osLJFl5cpQu1yAOmqiVYCCTYRov7aztUGEkrNMuyvrBUlBWWxMmvrULJxZnMV0wYdLTi5a4ukcKj
XVGCTh6Ud5EqXkjH5v6gV6NzoXF7ox0kaNy4Eojrfnds5R2HDSES1/UgSOMmcPPClGM8V+Wwi6gL
H+2zOOc8QyVnkpykGpc2IAJdVGBGnKJgHKq1OK8ueLVudi+iMCC3f/3G1ngsC/OOyrUYaqGMFlyS
hKYySEHaCfDMudqEdL8/tjK+auFmat7NFCHUOLlurSCVB4SFFBRe7Pq6N+67CpxqMxtQafiaxaJc
inphV5nWobinldJwmKFebK1ds8xmalXwc7fvDbvJRcvJlYw6KSLUcUAA3Vi1ggQru01WzcWmA4Nc
+YpV5oViFUIvap4S5zQpBSekbS8UmuwYXKC5rS6AILc0b8GjmeHusvCN7hrFVHDnxXX7TXHNyqZK
Qr2Y9XfhjPueuKYjaFnEEE/hVQxePJ8GF15tps5DFcG1tBzNuupBfxbSdVZTsZjxroZcvW55psu1
p/OFLjku6+RZrDCvXzvoAnd6Jr5U9qaOhkv7ORNUhmM9bLXyrnG1nNORu4mEZeXROLSUdlEps9Ax
3FjzVY0kD243j/otz+u+1NDUtbzGkJx5TRjiWKDQJmC1UhuNeEvEmSjNBWFRO/fylqTzTrqVVD2p
9BzPcn+VkDtXMLNwabu6wtOoW4jBMnZXOZqnaKbkWlHqSc1E1+x72lellgpmAcPJc7QAhSMCW94K
Z6xS55zChJ5x39u0oDIf06Z6yFsN9zpc0U7P3YhGseEixlXLTrmKQ7Op7iOuoJVzkZYvpDZzS1nI
gZalVKlNybP8jsmtFodzl5OYoszEyiojywmu5BBMHLPR2qktosyKiNnKTNg0Tk/jxESVlQZzPlhG
xbzOWILWrsqKmrowvsKNJ9z1IY0uOsfsePBRTZTQ8jsfMvSQ3ymc1aKZ8N0nFIO/do5XUaFx4cyW
dOLqnk0T1Qx7Vt/5i1bVm3PH0/BtufI0QdGdkgW2kQg0KOcdmbeCmbrzyKdSvi1l1ocLJ1kpAcPe
LLEN0i8V/snvwaUGNVnRol8i9TLhtISYSm66vZXLF0G18D2r7kEuBNqGPvWD74lzJxYrB96jRaoO
4+33FDmmD89GKPc9dsB/10CHcfCatq6VOswRdAIA1mafLqTvILOi9OL2uttqGa8ppYXhyy6XcTBP
eyagYcBgnLjMp3ZpwdvJy7NMmfucHkVMyBipKVys/JZUC6llXmsksdGVjMuopLLYX3mVHqusEZms
LFA5w62GlumVxOlYvFFDq0cz0dWKeVTO7FxrC0NOFmGvNzm4Dku56WmRaymhYUHFZR90VG+/tbdu
Tv0ZVvVQuiz5eeNytK6XUml0vtGa8JgOcagUzqpy3vQLElO89b8RDlhtaVOYPNIa/qqJljIx0A3P
aSL3iOKVJ597D1JLhd4ktYUJeOAselQFqwBRcMwIX6S5T5F31bcR7cWEgtTm/hx5KXNcDYuGWFG5
Y2GkNc2Cd7RaojameWBBG3esE1hV0ZJb+vlTGZmBI1If31TKeRlquT+LVNp3jLykEVVvlZJJurAm
LrVdKoNtVqmdW66tp6LRPAYNJbLpd7SKjTQyISxKHriWqqA4UyoQDWUaXKXgTN9laqjBmK/hZZZX
6lpYRGY8SwqdKw2w40pFaenQAgZMYK3MgBOPo0Ki1+UtBE6CQ9NF9SAJD1k1k0O9nFVX/Ist6EE+
A9bknqa2SENlnacm8GQXphIteYESgarMuU3vC4mJnimoi3CBKt1GRsJfxzYrEVNBFeNmWTdLggz3
qfLWvapV1ZzbhABXViLacWbhrWuq5jyVfebdxvfRKrPcc/GG08v+yvWMXqZ89k0Qzl1bq5KKkhh8
OB35Wp2ZQrjC7ZITV7m9cDIapbddYmSKLnMLNbysXdoGLLr0IorFGYdontIunJUX6n0E4/+c3MmL
UJy1M1HPr2OXpuLcuewXgUh7rLf3asGUzkSx1gR6rdAIZJnT/AckWKTXvZintTorQrB1zPaY6mpB
TznwgkH6lil3I3Gs6m/E3uq6ywaC0mKjomWZg2Fgrk8FCUBm0F3yDSdnXU/F5Pqmcm+63lIUiZYl
83yrCnWZmHF17fjfm+6xFiF8KHrqufdRUdC6XPHOee22DMEOMoSaodAMlSvU0zCbBfaStLMaNItn
pUjzsk2TLjG3KAITRigAU6jQLKNeS2OFhi4tMqqWtIc2pvWLsgEuz90HT1zA1YMFBDSuQIWaBoS6
N4RlZnOVFBTzWl/qsU/DisYQZ2tCpmctLZ+wTBPTzc2g0m5QRgkjFs846hsyA1F/lnyW3qedRi4C
PZ+Ll0Jg9IavxYvuguS68M2elT5LJCbr8KbJetAw9JKCOrhzbnyPoWt53fg6cI4ZCIN736qabc/U
gjq34oXyks6clbPa5vcVR6W1X1Ls0NxmXcw4eGNhh9M5VlLpqtBaZs8iBmNKXYapa0hXz3Sb6tVz
YRBt7iLKXwjreMZfdKAUwAG4FZtBYuJ7/x4JFEc0v5euapsJMo1ErU11+4akFP53wxV0bRKjqOek
1AJTSDT7wpb1mr8NPUPxzbJgks2kiEoydVrmaiq4UIlW1obT6PMQ3jh35pYs+VaY6bmntxVFyHSK
KwiXEhrbPXNyo9M9S9RqFgISEstFo47XvSXILMLak0oz1s98Xq94A9/PxUprvtkOE5ad7szkhBZr
7hnd4QQ8IlpsHBCDyEoupVl0iW4dK1ipPpgEGhFm++u6pMltYvrAleldKo8cRIagce+jQM8S1j/J
wLUeAGsxdZN5wiDSchVw2xgc86iveZdFQKWSyjDs9wgkDNJEED3d4hveYfU1f1esYy026gtp2bq0
vggWhAkavOxGpTIRBo1JS2FZrOuLfG6b37iE9st+ma0FQ8mYM+NgV3X1FYh31IOwwW5b0/ymtMFm
UKMHB6GLr6FHQjkKkc5SMtzHci7V8OCdrli29a3YtMto3WpSQhUTvI8lb8VLl6e9UcA4BozTQ02l
Ea2ov7JZRKGLlqxCQzV45l+Uc6Kw9CZYpzfcg3fVatXGv1GpfyNT9D27a/R0LtFUIwEtH5170lNJ
U28EH1Q8qAANtlFJcw0bYDXuQZPBqwMjLIJcIdCy8Ma2zqDDm4v+Kl8qLkvnwZqbSZq8lG5STdZs
FpvqRcw8Q37kgLbU3BXJWf9YMZ61lGOgoRCTHEoeOWGWMAWMy2MET2U6Jjgl83ABr8Odf1Mum+/B
WjHrZbYJweuBzNcD+v4Qrb2rTre/u4/xSzRDMBKgY6SFtKhWKsf6mIL+vK5WMc+M6hu69S5Jwgjo
FlqAUHn0Bm1jDTqilnW3mBYtvVGfqm8lD8gGi+wymikb8TZ/7NagCEFBipv80X8WWbP2Ha29DhbB
gr8lrL7ILsXbQEcMBtXkV7BlvcbBDZ7SgIH2MQoWa5ArlJbyjLDEch+Gl27G3bfxoN4qiGlLmn0T
obnyaA4HWxpd4ll8DibRyrbwria3YUzn/cI3itt+4YCOKe+TQE9WYJ2C7fjel/f+uetS+GtBirR2
EQFevlaWtCSWYDMvYSmidsxAnr1t2WvlPZwDYfIqjeCFAjEKDI1IgSyCYeJoAjbjqX/yrzmb+QGz
G4prAyMqdqaEaKmAmHBPaAV6mTDJaOecDaIbXxDLmbXzFgDp1u1L/phBBEoFA973+KYBl/zZIbRj
yR133hvYcGYJWCQfz4qcortGeAhMNHfm3rzVwRbXmdHrgsWthFWZeLp8FW07cO0KzVVfgo5lDo14
MJntRXCvyJSohnvZXSFTPu+XVXcZrPIFuBRSG4CsoMeEqXo9sy+23mUDQ92yKKC41xpwlS3/3Lvs
79tRAY5awgbvFgyRSIvbZOtQGH14cumpAsKMljEkMKgHZvCpWRFQBHflPNbaOYZQbVOeZ5b6FIU6
x7HmSg2YsoFW/ug+SMv6nLQD1/3S8VlxVZesyhngXl/L9+g2Pw9SFvRmdDn4B9/wU/YNWPRTzZO0
bFt3y/4eDGL91AOMPuXiQRmDYgMXoVkVoJY6naN8Tjur05/qGXh4EGteCWtFc6gDusJljp6fgy4F
M/mtj1ZNZxa34TmovPC8WcG4BjPEMp1bVA7F57zlgoSCC8TwNzQPc0qWqq7MQfDFFA6meqbFsxbU
DTHVc2SidTIrS026ce5zI9U6yFdRF9TYnTN7crVUl8zWBZvWXpJlTRMweP458N1mOgYliVhrQDR2
n4HFeZJf+seyYdILfpTOFbDdvqGu4/t0Qeblwi2YesX7eiPrla+DSeMvwB2EPAy8tLftTAD1nM8b
lmvcAl8rZmaChwpXNi8UTboCn6LZKsPTO1a9SMx+Vm1r0BOzaFawjOGZb/jX3mVwKS1io7kycp7h
ex5egYC2nMbf1iCZlyCz9h3kFgFAcSt4Wuzp6K7bdJv0Ir8JrqJ1uYxBC8rP6rl7I1/j8zxk/dy2
iBmtlUuk+5r/+ORr3FW7qEGchdnwj7TUbaiXM3LHb8ILTtL9lDbhLCtoWTPuAYUzwaMBuFCM8+iD
4q7A0qC7wl4qpQF+sUWsQPdMFdK7c4gXLn0Dr8HNhLeWv1UxDQ3Q00kzb28cS5yrvRb7Bq/ovbxF
nccU5zIgHaDYl5p8U96oquZYBN6jHCQ2uVLvgYknxwQH3/droxqzrTU4VgRWx0BsBPHRmHbjhkRk
0uDXze5YYVModyWQK4D8kzLODgwtPKSoxmO7bJSCKyNp/EuIQiAJJQ7p5HEzZqL2u2PL6RqF8o0g
sjELNfKjoNCqXDXVGhlfB03fzl2noZndpHMhbRguC3mOG/AFa29RcN9qSObgvjZgSkXPat6bdShx
LAWkemDf45oZloNkhpBzzkNO3sxDBwLgYQOhC0EcmTsZSax8SOWNraIQ8lkvNBrfwgRD4Q9ZfRwO
8wp5Eb02gxJ5YAUaUJdhkcxjl1DeUyCDqdw6Sh7pvSNAhiSOr5I+k0IaCxDw9j7MJ3VCdpGLkBv0
CGQc8HCobdzacl1caGUXPOGSQPaFR9R3waNOWwcmqNp2cMoj1gbhqksJuEEDx5DVghkB5COZSYGn
0tJOPbPtkzUvCKBwM+4ccrSz3MlDUJzAk+AIOZWS+7aWZVYFXcQkdZhLkYfpkbFZtQRSGp6YgjYd
ZuvGHO+Y1x1b8jhZ12TZIrKdyPQFSH+Pm26Yv+NzSJTvj6Vc5c1y1zGcuKshpYKb3CozKbfqYTPu
jhuUQuKqbiACG/Og4ybluIzXxyax7cuyimpjzMvucrV8z4cQr3mwbVzCzbw0TCksD4KM55AZ7n60
pMqB3OdwbNxMdsd+I1nApTCxEcXdN6wkkOgutgEqtqhVGMytggIIKhBVBHamxMkClzxvqfk6LFN4
rhaSlFanotzKsNCaftKvI3veVI6v8ZUAmkiErHg6zEq1Bczsja1AURd97Aaa37cXCSIx1u0MsoxR
Vsn1AgvVeZXl2Kg5klk9n2ZWBll1QIPcybxSzXd744lhia7mOZCzPzg40u32x2bd6mospwuhh5yr
BAqfzyGJXDo55I8LSXJhbmxsj4fHTQxzlVY4bPa7+7NZYUPGtQ7Nsdv++O4qQpXnPdufIk18qVRy
aSSZLLAaeZjVHZJWngqzoJQvugCyDDW1W5HA8IIM2gm825xY87qK28cklHIzUcX5/tzYclLopfQ9
PMNIIJCsQPp4atxkPAegiUWY0CSteW3sNBJB9rrsGR6nEYf7tXIIPXeX2h/d7Y8EI+l4UV8OwAyP
zf31dj3Hg3vyPc3u8tPureTERp7X1xOS8YaNnOesySGnvb/Mvt+Us4P9o5ztb51JQWjyqg8zz8O4
jZc84P7g6XbNkdLej/HBnXbNscPuAdUK4kwSQtZ2z/Mvx2S8s1x4b+Ad3Hn/nJOHGS/7Ewf7W/Tf
+lK8hWm6R1hAEVvxoPx7SXrdTI5Ndsd+k2MwBwB5rcll8Dhpte8+tvZ9xkskGYEIbN9nf/rYselt
xktMLrvrIwv9VQnzbUY1PJ8yzsU6fpeYWeFb5WDIq8Hejmcnu/I4wwn6Od51VMZZ1bH7rjn2TyDX
xCtSZR67xNhj3Owvs7vLnptf0k0Y++Vlxn77O43X2x9rh1mwwx9jfFe28pykXe457uvPYP7Y/c9N
EsHf+OuM+4PDr2ju9+BX1nY/v/m3veADuMMCn2Laaag9+nGt/e9ADvU+P34UclJBtPvBzrfym//m
5Lvao+fDbwy+1dsNxTnw1Ya/rTx6/5OX+5qlke61AImQMxVWEcICmx9fftzVH2H41U74sTVYrAuf
h1B3ZWWv5UdQ8Qy10MOKDljnPnyq6LX2CMP6a/hgBPzA0etnC+T/pvYICg7flR7Bt1rg6kOBE/yC
GNSEQhH8+9KjEPt5jJtA2mZCspJiJNy2WchrqdurJq4Jf9uIGa9Ffa6a41mkcHh3ls9jYXc2DIPX
s8dox0uNnY/RYnXjOYmrOXWaLcaNEob/S9mXbcdtM90+EdfiBA63ParVk9SyZFk3WLGdjxhIgjMB
Pv2/iXbUspKVnHODoAbQdpokUFV7F1F6usmpNvU+nodPOpFN1V+OTnuIyk7fZeHUHG5DXqUfRR4W
zl7Ju7ROg69ZlReHIEozlE0g1qZ01+PI4q0f1eFXP+5+yrJDbUlPC48hVRU3YiOn0byRql6WnZd+
HTK9IanokNZyYxQ7czrRvTE13dtZVKV0X9IMMcVNltQL7ocBuUvjZmsU/M2iawIkVpJx8vY69+J6
g4ZuSEzMMov6s6Ooi4wKF3dGhOVBTEwd8nlgFOUDnLbD5SeDFe0Q8UYdZCVR3rPT6i7NRnmwtlxr
Z50xLdZZZoaNDqbkJNoGR+aKJic2zyatkZhOiVpV3la1QfuC4rvz0OVKbqXDFDKrgzoN80AdiSGu
DbAf5YiM+ZghFxwWUbGq6izdBl138rIOZdfKCZ88dMhb+wPNNo1uyBPLqvGYVe1zXRQURVuXDBcp
RXuP4BmtUttL7+bdBf+O4a7knF911jA/K4uUi2xnxWjys8u/LbIXyslwFzRK7UYdINtDeG/2YyI/
DlZX+bH+YLC6IaxQuLW/eRKcjEDCwRvzcxNw9kSpQ7ZtGHlI/UbsSbcGufux1asZEbGtZRfsPc9H
WTQeh7vEq/mJaBGtS8DbLr5OgiVxJPsq8xhFW50O+6qsXeA4dL4UYyte7Cx/n7Wjw6+62wzEf/9O
5Cxae3nDl15ckm3KaI9s+iyP5UC2WZFmd4Nn+tUwsXrhtCN7irUs76ZmqO8y7SaXqh2axeAU4ifT
47qrWfHWUeOtWOjwI+l8esgCGa5oZ1Bp7UOCUg/NvAU+t4qsakrVpsp9dWKGqZMbN+pk5qGOR7LQ
aVNtrKFJDPPw3MDisI4skrr6Eff6WNP8zRfFiKxqWjv3s1iWw8BmQKNzH/TqDY8n/kHvYlOGzWM7
7bxgKvYT6QLk/2To7UUJ9CRqsKpbB+PUXJVXu2i971GFhH5cEL5WDKjGfnBEsiXOD6cr9FHGNDgV
Ol0miGmnlyEH8MKtET6UgMV0OBCSyiwyIs1DOhF9HcpwhRX8oybTCdKJzbSlIVx1rpc6BGQyjzP+
qKjyF75pih98ROZQ9PoraZtTXNZbOb9H7IC3Ht2T+T1iRQSTeJncZPyAZzoh5RQ3njh0g1ccWRPG
SGCT6TWj7iFq/egn49NTOBH+tUjSce0SKg5qagrEFekv16GcDiIs1NcPW+E/IFvxTZ1Puws+UeWH
KbrszPxSbDTz7vMB2Bp7Be9ZxJI/ZcTzHU/noMCfQ2nAOBFYSR+ynX6WP7t+kP82/by2NRPqA50O
12Ewuc99nV1qYvS54Fw8q3FJixmpoAxd5/PPbAcvmkK8wwqALvLuqi98hRqbtSbzCu00dG39bsve
V9z0xEdGY2FX/PefUZfNsS7H8skkjVy0gxofud80BxoxsSJRV/2RyeE+00H2UqQO34UJLVChTKo/
hn3HM/lHW6gWaCqV3EW5bF8cpwDWQS7GqXvS2VQ+OFFHLgXrj5mJ+1eDGPZuQofXtRd3/Ws51EgS
Ni07F6TNkP+IvaXXoIoGNBF7G2hrloXr6sNQJuapkPVDPOvbRLO1W0x0V3NSfp16FABmfZ+KGCAE
4W9pIdmb151Ho+NXakrnbuibcG3V2YAAVVT8OUuTbt+Fk1zRMeNvgS9W/3H3JSAjfYBVg+MCtuXc
6gRfRMcJB7fi73ffJIKkjdyI/xRAGUq+xNYlXDm9he4ULUfj48xQ0eDSTwm2cmXe3DwFvDnr2sPU
muDCMuerwQO78UYlVian8tAELvAsVfNrZnVOUjzIcsruPumtr+4j3aLMjbU3s4iQ2Qoa/B//h8tZ
ndsKwFb6x5iECqXGfjy4XUEOsknEulBT9tpF4hzPDzeh5KGOQverdfVZ+Mt1mJAufndVcR7/VE7w
IKrC+xpRo9Ze5QHgxLosZAsndKaqfEj6cYdHcjMKYCYX88zNQ4kses9+zX63fvZzUEjQEhhHu/Zm
VUnrIT8CrFBSouzumOnjkFbeTgRRs/ukv/lKWrkHK0ZEHTpd0DsujekXN5fbWqsjqjz7Y65RdsdS
a7T6z8uK1L040h9XWskNnXLzBZunQMrDa14j0/EF75Lxe1Z1x0lmLAPyp1twjnzdouDVoiNpc/F4
0SwdUj57Qouzz1z/+V2a0ix45rx+9odCnL1Zmm1W8rFT3Tz/n9ZN85/wfpXbn5fhT7DSu+325822
m/T+NwNcNt7JiqN86nF2TKosXGriq1URh9nR6uzsNkhryPJwGSEXdPX7J2emUfv/9yc5Bgvj44OM
2CkI0MQ4nT87gW+7xp8eZM2447MmcAD6c5+6qUkek1iIYyvpsLRPNI4EP/oySB5x9OHH+l2fQN++
64eJj0tV+2Y+QvzQMU8/+Ft9kMU/cvoHb9JL2uVTv8DD7R3o+117nc06d2rrtUBqepGy1oXjfFNb
sx3s3WZn1hG7I5KlQYgrWuX14omHsmQ9MXflKByK61xWSNWn5b6eD8WFCtwtc1FrsaJbJvlj54mr
pGaPgGYVECOF2nOCnE6+TKgh+7zu2vPoj9Wy47L4URO2FDTSbwWOyeubR0R+UnLfDkm0i4MAhXAv
wiHrJlfBf5wG5s/lfP4V52DX9wkIN2Bjf/oVq96oGO+g5KeT5R5BgdJD6toGhsrb5r3vfLGClHcj
8ONfKh6pJ26AzYz3tBXZMYoanArfxYq6+AuLkV6tKY+bxzQzKxf7DZlq/xCEeXbXVq5/IPMsmHV2
ZnU3q6oocE/vfnY28vHilRM/jHGKGCT09aarm/Ysp+zXYA2qTzWCwr901gUpKZxOZ0NFck0WzbwO
hMBfl7He1jGVJl38+5MS/f1JwccJEB/io9MgECKm/33Ly8jAHVez4Ccpu2yJvKEH7OpfQ9Ry3KlW
7roQp8MqWwcdb+9vqrrED5PzIVhPnIQnh8vwJNt8IQLWHkPThyd/HqyeizBfp8YLl58M1qpT5H8b
n6+7PnW6nZp4nJ8Aogf4xC9ea829HVGkPbe6b8/BPJv1KozM3dVXilCewx5gJ2S4nydfpQ9xzPfN
WAXPgTTJw2yr3eSDrZ2lMBy/ADht1sp36l07VmJvZ2I0v2b5++xmvc2yMRZ76bfN9t9/G9Ck//YA
oGNehKbgiTv3lwrd338cFjOaC+M2P2VXTm24jqt00zDjHPOkfqgcPeysdFXFHp0WTdmbVYbvJCzz
qzx7W7uQ3Nwj/b0zZQKcQMHIsDWp+nAZa7C+HMTGVafGbkGBplyi8uJ8Iz4qblUDLAsSJKaL8d8s
eNB+Wb+NFHDVvCvdJ5dNel0qhx7ryhU7n5f1LolYcJTYNNfeKJqnoCgB+29Z9jZfkcnYna8YUsCD
kwCIs9CpAjCK6uJHCLxUrUfzyoeCricnHu+9PKIP1iNvovGUCyEWnb1d59tTh717QO4b9+xYm2pB
gCLf9O+Wm6Pye0DdsqFclmPQPqZaAXGn2VNYp+zJH3t/xdOk3Vjdu0ena7nyNL3Uc/xIJlZufEr5
qp1Fq+N5XGzqFGe/2Eac2btcIlJ7tI5W56RCrCZPtI/WcLtWYQPXErV0r3W6+7Bm67pLylOfacTD
8yz2C3WqSEn2Xp2tP+mthzXOK63rbRGZVzbzyvfLWg+rt24+19fLWtWn5b9fFhzB/9izk7/d7GgQ
EKLxfTJ/ysYnwae3fRdxVxhZUjRDLleeF0dq0U81InQXYXrkJcXeijUBXpc0YlqpCTHhwpo/OYqE
zXXYeXVtnfR8Det5c7eXtKK9ZFKRc+4HxYaLzpx4GFQ+yr55f6r2VjONgTlJq44rQQHyc/Uix6bu
L252ZG0BL45zuZ08bk5X86+reMgiLZqmIGuVrasm6TtkTPrm4AlVFys7tUPr5HRfZGsruGPYHD44
39zMbGEgKO+dGcRa4XJWdZ3SHhjvLgYfhqJOd2zL0mwqnNmBUx7U0ersQJBZ0AAFwycZ40PlmmYX
sY790t0cWdr9uoLVpWBk4dvO7wzcfwr+w0/BP7pFpS6aG8/xP95Q6Nv+++suSydB0qpzvstWrjvk
LoKFAwrJylO9BjAeO8ttL0mGVJ+SN6vgZQVXu6eYIqiB5J1++VudXTnxSZ+GH3iTzFe9Xev361//
UC7i/8W4CaQu2kewqNrHIb4wN6wfrmeG+eCAEPymyZJCPlTiEPZA6+F3eZRdTp5SZ8hWbajCbUZT
8lROkdhHtQ/80GzVniZP8wKQOdvrAmRcsQBo+rxty6092zgpELh4ZtSdFTPUsVd+7gFzMSfTwRn8
ZbWZ95vVZt6t1Z2dP631pFs+q2IsdlOl/0eNXzwwl5XXwcmGn1MlPYBnobLGPsmHnfCb/xVeWz7k
rj+tdOoDogAAXNlvRAAY/XxyFEMrl8Y35Fwbt9/HLQGeqaXZWxsD2EVZ8DpNdJVltdpS3bMVNhf2
NNQBe/IkCulZ55ytSnMN8LFbsdVIBPa4fkTBugOOnjl8AHpcpeca5OxzPM8qkgGGFU357mbQMg2P
tTMBIgC3m95epO/K4YMBucJpEbgODhuchtN+aGpkNyROc6JSD8Cw/OhMrF/NAMZE7BGzjarKvNJe
nSPQni6Ssf94Ecbpp10fWTE0X0erDQ+fAUUI8ykH1o80adx60t91g0y/uyi1Uy6iUJMjzmmPihS0
WoKK9b9gYAA7CBeV7rhs7yRKkUsr2mGovkTlVF+s4HPcN+gHRjdWZF5Jjpkgj1YC4XJ4Gjj9n8zr
fu8PTnVCbjW85rmMcdZqHJ29zWFdc1V5krING3JA9t79ApvFSnu6rlMC6s29PYQVKU7KssrdlT13
qd/F1KTFChiZDcpe5Bjk6skm9+1QyeIhG5rqZCWKnwAkoDhaX6sBoolu/soDa2PAAfU+FBrk0HlW
RDr5UpvmMM55GqsPjQzv044mX7qk+qwPRhfHIQFk2ei5Gf2vkxyZq2I4MoLZP9cEwxi9wfFxl8CN
0iREi9DPv2lS+21n2kh9b4HKWpWUNruu6E9CG7BldMn0MVONPtqZkmW7i5r2hHiuJffWeRaLkYJO
kgaX3M3BE1G8uKvSlKHuPBbAt07ROi4L/YSdJV00nBd/xIXey75qccACAjIepP8zNgDCly45+cgJ
HpHEL5HhSgzqSjiR1BN6IgB1ZcqHEgX6NJ62fUF94BN9yf/0UdlclYYBbj9vPbchYqDcJvNw0w0l
YEMe0HT4BIS3TnG86y5qiHYlbe4KXwdfA8HUylTguJHcCb52UXKgflpd+tyMF9HRPV6B8qWKz3E8
yQP+KvJgZ3ZIpgZYWTF0e9Xm3p3VNemACpGfudtr2IzC05e8aun2Fmjb2Pwm2sDaxt3vvlZlPSIH
XAAydLu2ysz+NkxDZfZFXtwVReffBUFW1Yub9SrHDAWriE47IsbwPEXjqi+L+hjMklV12HVAs9JH
K+Ed80s/KJeDHuWCLvGusy6o4bx5vWm3I3K8zXcRuOV67HS0C0oAkPPKZN+KoAyWyF2avTJF+dUD
C8rqFaVqZ5gQoPNl7FsAMvaiQGOtc1iU0aMXds/RrCdIkGxkqimgRzGQ8b5hE9hCtfbMftBj9FQG
ij93amMTT2HrWcHmj0KWsNlihXx2y4YPbhnf1ALQ/X8/LaB3xt8eKbwb0YUfXxXFyQF9N34/Lehg
LKu0nILvBcPzMn+U92AHJ5nEpjY5yArvupB1Zlj4SIRffco8dw948si7h/X9JFp/4ppykRf4J8V1
94R+FeZeDCkSo/NgiLvEBwP06aaKeAteVO2Xd7WvwqsbCyIJPGSbLK0uGKW3InVab9w0mWmtbbHz
dJ1+qSPHXYOLjYruLFZT2NzJLgFvbRaFKVEPVBX4MLPY46OE58ENQaGCJNmkvmTkutBqigggbiHi
hyzlP4RblPsiQtK5DzVd2BKYmQOQTzp31snf/W46h6Byfa21fVrXB4nZk9EHOsfJvvWykC/tMIA+
6DNsKSajx2gCqzkn0v3mTtnO9fro5++uMsbuE86upB6GFdd6BKWSxai8DOyUzEPtIp3rumzJeM5O
EakLILxng5XHRJ8Q7IU7p/EBv7a6dCDs1DiyWwbMlOsP62rHj8G2Ag6gZiw/B1P3NuGb9S8iwjEt
LJAcs2JTjeE2luBWWrH1c74OkpFur845ZUs/H8Dln9dmTv0aE9afo6zxXpgEAy0gf/a0RzER38h7
MqTmxyryXu0uZlWoze0R3/JzrNL4kMnwEhqFOqcNyLwCEPbKQy7pFqndwjJr9WvkjT7Faw511U57
PLlPJ4q3T9cbcV/zcMe0WyyEn6AiaNp9MA8ZWvehYIjZpKTC2w6g5neVnVk362FFO7hd3O4pRWsW
VN3BD8r6ZOvTOFgrxflrpJRZcECUj3LM6Etqzgx86leXErqfaFkureinYFzFkVvsrKi6cj+UHr2I
RnyjbfSH9Ey8yiKq71OmiueO5fsmH8yb1fNZ74fuP+pj5NSBTg4mQEhRDtVRCtD3LNqaqK2GWsOt
bHrT9VN3V03uzmnd4EhdpjbY/FwUvSHehvRdpO7MAKvBoLTWDLkPc/Vual8cJ76jVR0cRSrqdabD
ch1MQXLUCMMX2TjW35A4mJacRXQ/IDP5XPUUDzuvv4XSCbfCz7tNO7nVt9oPjxw7+1MSsvS6fJrd
Pi0vemdl9TgqhWvCxYHXifMB/hCoCoSNIg7uLfwBJwHvjBY3+B0AmjBlDErrhFNi0mfyHPfPXNM4
WSAqR3CAYuNKA+28HgQKWFaHBo2oYMTPaa9+cyvJqxwR+SxY5aSPoQEZN83V0ktLZyX9gG9I0LMn
N63pbKxn7AMdIrSP/dd4kswZg4+HLnzaAH2K8TljNLZDx2ibX/5YTC6csh7KoXoDA3ZYFjh/7d2B
g9QacDQdWVznESVkP8SVu/RZFC6JNV0drOk6NKTaihGgShQ/6+1QlPk1EY2+l/U2wb25tiEXkJTV
VjmgldqALBrUL6tA44/HFI+qxS9YPIOd9W3/3MQ93930NyjE+JfR+ltMxM0tdcdnMbUXBcb+VEr+
LIUGO7WYXn0vxzPFCwcprsa8poD5L1LkeE8yHa9uzhQPx0I7/tIeeHC6cDeUePxaH7O620noU0Xj
5vzpOPVJvF0Z+xSam8wlkdtFfT0cukAk51R3J1uXLPj46Dly/Bo2pF6HIu8OqSPTg5MZBoqQKF7B
HTjh2zLmj94miMusyy4Ue+nCq7r6HBKcfUffBZEb/+igJSCrmAb1glm0bj6gTIfKAztFUbB4kCEp
Hm73cmaK56HS7v31Zg6iCjSZAjGudbFDN9/4LFLP/ajc+5v+5muveX1oHKKu1xMK3JF2YiCtTLm8
IBPtgUGPXg5VSsTFDn7BQTQKDVoDQEVHL3mg8tUKdg2Lqb8LOhBkb7pP19GldP/jiEVm1OCnByhA
jzuSAmSEz4P/LWqRWrYFZap665hfoCsQ+kvkYZoddQuGg0TwsSItKduVVf6T2Rq6igA4HIKlPgea
XXruo2y4WEE2Tbvyqe3eAZuje+/oUn25BrlSun/WKs4OQ5OQO+MRvqRakxG9NPoMVOVKrcbGRHe1
6L9yhD5rdEUDgGea0jMJR1CY+yn4mpQhMLyzLprTBQL9WQ4urbdWmgzaAQBrB2zTOFR4AyrVhiDn
puFjgl4L9u9Y+Mg8uBJ9JGy0TFXPHlGqXkYqG5+sRxOiuZUqc7WzYh1Hyf04J3qs6AVAbteSj9s8
nMpDFaJXCE5Lpwjtn05T3SHP6DF3XGe904F025fRyppax31LqyS8M2kGsnCWsTtlymGVae1dWNwO
qwnJnUsmzbDS80zMOoUGVkfHHttj6aXYIzlK6Tl7IMxH2WQe2rm+ZPUI+h6sNHGQQplI90kk44fJ
Gb7ZV0ersmkzVE6x9Zox2/ediHasBGsk1+3RQtY6Hx0oWNpQFCvxSreDU9BHKeP2aKWbh4W82VXv
17AePNNmEeCJX9zei/Zl53stO3b05ye1FePBZ0ekqqxwe2Xa96O10f7n7WVpZ3V4HNqkiU7zZlUl
Qh4C1OruETcCDIN+LEfXUwDLJLlGvo9x/E8l4qVn4QByb63+qIvuIUXPtv9F3fehNOit4HjVWgFB
+LPtvLcySstvmYyyZYmCx33lI6D2nSA+Gl/ERxF38ZGTmc/kycdElsG0YrPOGsrkKWI4Aw6uMwfg
ICYty8EHtfc9NafLfKPS4Yi74DHJWPjjfZJn4qoRf01mU+fFZ4cNoGG7eXJ0WNtPi7FBarEnToNQ
BMrUA4JzVYPatCnHmD9yQQg6DWjwEfvOzZdtSLKV48p0Yw8HePs0j8Kccwd0QYDYDrf3X4z/G+gD
hXfC9dU3tJeOJc469gCzHLnMv8D/1aNh/73nUbEYPBR7SJi297FbBeu6QQ0pLtCNYPZQvcdXXdPI
Y9H38SmioEzJOvbRpkZh001Ssq8Que6bebDibWhqdzsGOdvdVH0kx20A+Pr04jVtv0XCe43kGzv5
qEY+aFSyHxJnbhujp3g7xCHIuSoBfY/VEdiWszmcHblmApFHhkJmLbYJz1M0UwjSrcibCZ25yvKQ
y87b9F6DmydET5KW0Bg8TfJDT6T8s5Jog5ACxreYMnPn1I3+Lh1gKfy+peimFAL/NajmSaGZY4ov
kzzmbVI/KdGDM9lLubHGgHfxmTrpxhqtKvNKB6zlqtpZ0XHzcU8yggB/lF2FPE3+nAs02ZjqqkQP
NeBxN6DyFGteoBzCcpRHXHy+G8e0eWqVdpCz+TpzffDpQSP75W6VVsTrFh1vQu3cS8r8eKHDht8z
Ll610umZ1kV6HuZZ7XMQx2Vl1tYwSqXRQiZzFoheYjTe4XitJNq8+j4qZzr+CkIReoGgFdGyRIqn
LkIxvUyl6+LG9cXFDpnz3NOaPjhIOl86Uuq9Z5q3mz1o0JFyrLS/sjrfbf9IlBY4KMSj0dvcoNfX
mFV/dKSIVvhAljrw0Y1PnmfGJe6U4sc/eFSZ623GKnwNEJ5dMuQ/AwQZz1YSJPsgzTacNFBynj2V
56xv0mwzoLD8WSCJu89VLx56YOauz1udI+mvkQm9Htct8Lhshz0NAdijVXEynee8kKRdggU2fKFO
O1xcD+TmXDkvYUn0oQ7AMR9nL1GN6D1Ts2ptrblgoIK3FdDFFSAE9tK+yvMHr+s/BAfDOKhtQ8Wv
v4HIgmLbZVKA2JsEBz35l76Ipxy/DCjdQ4RSrzcm7cUOqJeedKXIuqPtmVjgStOiQsZ4h+T9fPi7
KnND1HbwUUqlmcAWFjmIzXxZPlTBUAIK64xnwXZWc1PfXJlHigdryAtPz65u7KTboQI34o4r118j
R94ugC7N/2wBLvMU/TMuEo4KQdc9kzwFZN/r0V2i8rx97Cx0v8QhEU1WZpBPkPP7NJqGZzeLQabM
kg/6UAdoujWp70VWBBdsPmjWEqRfbKZFJXSZ8rG6WEnQ+NUbKL3mZXwkQZdDX4PLO6dphqxLVyjE
5Vsr8iDqtoLH/speLTKNuUeLLjSVSGi7GTwlkNJMUSumDTm4ISorDfrwLUbase949h4HT6JlSoAN
rPKLYONyVR/NXOFCNL1tG4f/jHP0eMUruH+iU+Zse2bMHVBIwyWf0FjIugiJbAtQIG/5iI6K08AA
XvOL4T9y4OE/HCZjN469xH4POPA+IU0C4DozL63yN84lmlHV/YMXOGiH0vnyvmplvQBqqbtYXRWj
FZ6s835rRWuY0KLl0yrteHdGpZ3zRCJ0TQDTUKdoBBD2twmwFcVj4Gb+GtkoQALioGv3dqAFqTeK
uH9MjtPuyyzWYG/GfrvHV4t/uVgxLDuss9Pb4g9r7HW0ab79R/RqwR3qQ8nAj7EP+V4CHPTcff3z
/6+2cVs2FsH4zR/KYlNkHtoOzecJbx7srGKgVy64210aHoud1fH5UDHWBAbUAdB30EGXEqvsJU+O
hR/EBzmguw9VGYLRyDt/mg1+7l91+n32/+83+s2mI9m0tXVKAkDwgoVIrNmw2IpZKNAWZK5iWlGG
WnwQrfXmfFvbKfRy+uR8E7MWXZFYjkYcrvbiQ6KUOidG3hUzusMOyNcHywLdlbdIwLKnfErLcwT2
bOi79fdGGrQjARLqETwN/66SCCJZEkrEBUGwEHqIfko078Cv/TOSaE5U5FrcVx5eyVHVovudzsvX
zOCV7zDtba1Y6viLo+LysQRDHkXk4ITvyBWvPFftHXN6UA2sKNClLxqpOY5iMC9B+acopvJ1zMty
H4TJfGfj0mAa8JVK3PbeWk3ooG9V2QAw6mqEE/gb2Iu5BUfTxPlvcBXD9ItKhvKxT8v60g7kVGSM
rAkRfNcDWLdqdExQ0qjoAxczRlbW/Dsejm88UcFT4IpgF3GPbVoimrck/u50MXqB/b6Q9t7Xf7//
/Wiu9n+8/5GiQmcEYEGI7/ohvgn2e35/CvDWdNKoeIk0jh0voZeEm5aJyGyyfNUPPd07UUD3bKgf
WZaFWytZPSprcbO4yWDTIPMOGNjdOIYFmvwJxHgsVMUy9ntvEdOp3QUD0Ze6jqoHFfVLEPvNxapK
pQfQxctuZUVrCP30KWp6AAbnRTHIOYeWTc9WsoOmXgVyF7IqAyC/a+GDtxRPbbxVPZ3WWgAqiUMm
WzZulx8IwAjoqAJUQlKYZyDpsl0t0K6GDQPpZjjUtPTDOFnZh/j6yNtHmXdqG4bNPuvR4ZJgW9qK
dGrPIYpe16GSob8Ic5J/MLDZxa6I5xXWuayi715Ao2WVVuDHDVmP4lQq6333Pmusxcoo9CYJujrG
P3SVAvA9OzraPXVu9PApD2DFm46bxQQU28FqFLaj4y1l0Plo59rOnepYUrJ7MECcl0zQtxDv/rOV
+u6chyp5LnyKBlcxWszNPn7P9N51Q75sSO+8gKTEtxFSre0IdOoFBJzygne1eGzxgzDpkidHYKjZ
qBZpJeq91RVVulVdYbZUVMPeoU6PTqpmQA86P6kWN9nObj7J7G1FhH3oVSlBUPPQss0GcQzJC/QC
rJ4tjMICJ+wsZD3aBakUSHNTIdjLkEq++REFBljriAnHAy88e5yQZdTgBBXMoh3cLiPnMqweZ0Tv
vWkIGmJ3g6THBj3ePrmJujOLKzvOnWi4l23DznYodYM+UebBCsgGIu2MzPKL6v1pV05jEaIJF3xj
PhefQg9p21lMcTPtkw7tIoHVuugWbdvVmD9YqYpkgfoFn99G4mKHIkeJawK/CseLv3RhhaZsfZWg
DcbAjmVjfrZ0CJ5lVCVWqrgInoUzfZBQc7tKbeH7z1LSD7YBpKgVUq/FKkOf93vChHtvZ92op+vM
6sDDDBbumAOgP3eBt/3dA+VRlNviHm3yr3MvBE+xEGgHE6PmvUtqY3a66PODn1Dw8RxDT/1YTGh3
n2YXVVT8/0i7riVJcW37RUTgkV7Te1dZrl+Iru4ujPBICPH1d6Gs6axTc2bOTNyHJpCDrOxESHsv
M3OLmD8WHgR5oHibvvZd8ivFfvKHV1j4OffQ/EqhdOl2CTYdbdNMAhblEegdYpfXBnnz4/Y9hIT2
S0GhHulWVv5YgiU2CwnISH8/of6JuUscIKqwecSkiskUzV/gVcwP40LWbfAY89CEUgVevbIS9TST
abbR4eveAFO1MiESo1+9ujVP2o9W08o+Wu9jdavt9Wthl9X5v43Xl9MDYhsIY6+BB8C2qHvgWngM
ebr/pA/4ApB7bIY7e3ILYpGUyp1rJ1BFToR8rJqwmUbUl48uNu0CYFfDsI+um1TPA0kGKE6UY0YW
RUQKzTmJHIVJEkU/CgClr3m9H6A08ux55RS6INlSeJxCAjb2V+D+1Euvs/1HMXgXvRFUHGpkBIDn
h1R63qqNzHoZ8TR4NDrnkoAqtYq82F05fb0x27J49QxA82HSYO1dp7C3MbW9OS397ilvITAysm9+
d83b4qNr0IXg7Y5dCe2fS1kZMzAmg71LQEueWRm4UylkWzmNsaYTKiJ7GynYvcMlebPz4eLjoXwz
nfpXEPf+q1PlAtLf4fAM1hookb7fPUJGAiKp1BYPWVqoWS0QpDAN3s1JHbvHojCgpxM08SFsKnPZ
C5fvfOkGK9vo6YaSIN84RtmvAynNLanrcqV8kAGhK58sRV8FhyqFTqxP1HCyAQtGClCKS5GWEKRK
CL+2jY29vF3IJ0xczkTkvfWSBAb0USppfAuG4QV/SfMDC4B9MNTBL0/m0Ggt402EpM2qlvhzOrfI
jqpU9bmo6rc+daxXK3LNWRtZNeTyQYS0MjnR9XnPg2UDbBuUnALzNY68VZyR+CrFscfDvR6oSlcV
qNJgSrXJFEkt9sOtxSSumYBkGokmwhfVYxJCtNn2DGfL6yLak8jL55lZR89M+k+SDuKXAXcLITx3
4ZepvVLY00xLh4lLXobOwhFmtw2AZsWEGFUL0cTVQ5unmC5jJ3/z6mFhQW5ny8oEiq+sIlsk/oPb
QRd9ZOOwBvHimW6wYLjRTPSpmac41Z1up3Qc7vCh2LLk02V0Z5JAHywwy2xtGxRamdJsDqGZ2Bvh
F/YiAmrxCsAjxLoMt/jlxK9yiIcfUKaMpn1TmGe7HoqVkUIq2jUi+2TEBI9eHdRvLSRP9ZiCkHdh
m+VjlbtsIfDT23rQkdobVhEAwgup4jJsTLwW0xyi6v1Dolcf48EZVym6vhHDA5CfH1X3emQlH3RJ
hjZIERlEmvQ1/rJOX0Tfoe+yl9wBTMBPCDQWTSe6iq5uDzwnJ9tIITc2Vvke37RIJh/NsYrQJgeB
MoEo3tiYeiQHnAzJAF2ktkI8zl+6gZm207bv5qDXHZxs4EefG/yBx8k2yhjCWFYHNTL4NEFyFlEt
UKfTSWfT9lg7jniwRfSpm1BAWub02WGBWlUI0+VUAsVr16TZ9R6wa/qgizlT+P/zvGKG8JFzCq0y
OkFiGtRcxCt1lSG9b45J+Ufd4ONBBwygnutWrDKq7d+/TxBn+M8FOgFhhADlidQqHk7LMr8AcGqn
yAdYG9gQQo6RjFlgrq02ciBLH3G3cz2+yAdKl6BtfpTGtntpbNM9+fha7/+j55/H6Z7teM3fd/g9
LmFGs5QNNOnhPoB0CpxZkF6hO7PtgJkkvjroGn1QAEUtjRTaRV8aWqiNrW+BYkJyc0YbeCUwD0yG
MSeHB7w8eE240iV9cNvEW2KigN+NF4/C7ZyIaUehORxD13YAbgkcQEGPgUrCTeKk56RIoR03Vukz
I0G6RkQQJb43ILrVLIo8UoeUtnOoONmnaFy1qrwexUeNGrCTwnuAY465xfqBwTTAfmsQ570mFvk1
cDt+bKxOLlQRWhsrZN7BdZ0YiOGoXVelpHNEo8De4t4lqPLqgVXFkuV++ewXMt15ArFBXeyBV8Ss
Ba3upi+qZzXYydSwNn5ZiYORFVAXp6kN/H3p4zGXXnmImvlgtYCMtoaxxlKCz7scJNilGobvng0D
EsU6PkdkmjyKyr44SLb+yDukUPoSlBBAg6B85yCT/l96ILoJUd3Qspcg8liLoeJIath5vsceuJrn
lZk/4V32E0SRELr6r4KL9pSBWeyuwqCJsHWqPERvMu8ks9LapIiUzEG68F7MyljEvZf/sIzsowc+
vQmlnzKAbDPSV23lttM4Z1iCj5BfhNTFNGuwV7YrgFyAOU0MIrc3iFwYi2iXqH7XmxF0K1tkUbjR
gg/aph6UO6T9HlnuAWFm9taA2zvpAIV9JlVdTLEoZVfVJdYsxB9zyhLKFwWg43svztWq54CyqKSL
t2HvlauSlGSPcGO2SBtIAuB/DKIMDhLKKsr9doE1+LB3agVuhF0668g01Avr8Q6oeoqYedjse/AP
IImOejdsh5kT9+g2Tlx93X/qZrIaItbjDGaoAlfj3kc3BjXRnNF3vNrZs4uvECIKzWsEuQPo2JN4
x9Ma8m0WC6cRCHpvFpRHItP/kZgmVIY5QxI2ovam5U2CD2vXz6zMD7nP/B95lv0qDNlcg7qu/tfS
1/vCLMBURS3HtS2E00zPBd3tP2MJvGdWkIlSPQKtQy+N+0QcgYkXchkbr6NgDGSsfs0TiEn6BhfH
TtbOubctSGugng0QEFdyFoOHMXWqnq31RkQXk9b7XNStfsm3dVKdKQxfdqEFi4e46atL1rBm2iPa
8erkwznRuFxK1pUX1O+tX313VEaeDVA8pzkEttZI/rxz3sLUw2yRvBGV+hYHxaWFYtBDM9ZD1bCY
Ra6jvkHtNw3LozQRetc7+pIN5kIOJUScxzerjgsgwdXvE7vy1n4WuHzplXDPqD0nXQZZh5UliOPI
VcJ94yOYHkhrBrR0twvSIsICyezlTpfDqJS7qPdgyhL26dcG3cWvfAzRHTlt+nlO+kfu+ieNJNTY
Q7Dcs91YZYA0cI7hNwKJCSJnIFWaexLweh6Y42bINKHGDaebnzwBc9WOvPeA1Jc0JMYLBAW8KUsb
6zSArI7530Is7vfwJARmTA/HN3cb7nuR+94k3WVwVHQUbihXQdIXxxa0gkkZ+cVL0yR8QQI/XxpN
W7zEgf8qQleeknpIHihos7pa0QLuGfBhApEHgwqF3Z9rN+HOjU3+nJQr1wnzF1pW/hZZYujWjsXe
UA/g3xzTURCoaMJDkHr1NZI820rL6aBXiPqoiI4A1dVXh6tZQQdrYmbVwuVwz3Cwkt8BPP75cK8z
Ay7nbtk4E93l3qCLQIpCwBp5iVkhWzXr7Tw707qAEQYSvXhRwhQlSfN6F9WqXDMsCzc5kAtbBw/o
ykmFgEZIbi3MqAOXIh3yucrT/pJlNJxWpGgfGS/DSW9Z4sWMIQGbp8r5bodjDrgqfzVVu1AshEPC
4C2JByzqxFEhtJyjJJqYJZIwYcB/iCh5cLqhSN87gCnWOmPWt8gLhIKdzTGbVpJkE2J+O+s2ZHRu
bc5Iiv/dpnNyfx5HWRPPOlnYN/YAdRNoopc0hsMKQJngxjqbsoIIr6Ya8CgwFq7MKkBd8YsUD9SM
1ljGR+9gKq7jsExeEQuBOKnRs0NGMzg4Qdpmkad28EAaZLETSLP8Sv0pnv7gZ2PV5mSwC+NCrKFc
ciwGNn0EuaSoxnqztjP1WtbRNqEZ37cmc5YBInmQTjaid0BO88J13o2Kv5ZILj8HglWzmojh6AQV
rK0cG6qtoXAXzMjiLZRSkkUWt9bWaaxkb/I6mwP0xZ4dmT1BB0D8AsplIZgbf1cMuh2Vr+ITiBGY
aeoiXkVN55yDmMXYFtveWyC/YckMukFWOHKfaJqC31dyO+Yn5chX0A1ABH2cuZaC1rZXwtVEef6p
k/y1qWj/0hGlFkHhItY4ArG45c5MYdCrymS9A68JbgDcTV5EmQKuhp/HShfp0OxFG8lLE3J+liV7
sMdetHQgEM8VRGnGIoJ3iHwa8Y/Ck+KAfAK+igpkpDtIakhUgExzglj+b7CVEt3MgOTUUVcFRQAt
1SxeIlfgbDPWg3ARBXTpVi1mBjMzZq0lxJX5vT8xm05+41F1TvHrgO2GMWeMlfGkSKutcrrojQ8W
iP1R4j6aw+G2MDDYD0zUTyF3neeKW5BSzot4rouUdmJqGHjSbq34s2QR+Ye/X6f7f3r3+TCFBYse
CH6Lmn9ieFtyAEUakrVXSQsL2CbHmap66I6mzNmmhRbmAnTJ8hqWWJa4dh78rIALjDge4ntfBV7j
WrEDlgXonlTFtaohblqVDrxQ/uiew+f5dukMBNfNre94aW9kk7Qh9OJvRO1iEIDUZ9mWI+L7q+HW
phcl+8bbzp0mPC1OLmvsVYl9xyoqrfQUgTUKofUy+paDkR1hUa4HdTJgiIICpwGDuok9zgSVlyfX
IEon9pidjyF4dWUSyd9xBtFtv0uKDV/bxnFAuQT/Q1YGkLmvGyUwThxoGJi+g39AoP/n6gPhm9AF
nDC4OkjtzphQrHrOPGigxwNbAijWbokpwc3Up41AOpKPh1tL4So61ZUya5GJHBSZRrkHJKk/7DXO
RcNh9NkXTMyXopQepOAH7rtQIHehDSSgNQ/1XvIQWDYWnaQTW8uogx1nfjdvIa3xCKkSGEWMX3he
7SDG4P3Ug3IjwaAgFQvTwZ5fD2oZbC/MmDiPQVZhqZ8dbbuKfwop4U/V4impI6jlK4BhwO77HnB/
eKEWPDTAZfEupmKgxbLE3/PUNVbgH5prZrJ47wEusHAHaWxo7D7FIaJkGUA2O4To6Bb40HRhwEv0
WoATh3elVL9GPXru4gcCPB7wHl36KBn15gltPgYhEJ7cBmHbWv8epDRSoIFUV5PZyW1QOt5p3Dbd
7hTahryaIcTUOwCAlp1L83kBYGfyNPDou+URaycdlm6GKqVY7CLK2IZYy7Z9D2+OMQZZO/Cs8mpF
bzFIyEtBOzwZHqvMm0kT+E3DsPyXqntvR5w7F7xfNIinrIiXBmN17aTlKXLZSx7kIeTRwNVtW/sZ
MobhQVfpgy7SPFsg8J7uvtS7rW1PRS6beaEuTDhqG48CiMiAgEw8nt0Puo5FXbVixQ4zFOmwbzMf
CjYCjrPQ21ljBDnwgae1SeHv7M63H3WrEiZsB+lD1PTt2s6Z88wGWA5Ekf9g9kF8bmL5kI0ksNJt
6crKmT8zBtuZGwJ6QGXVFCuJ+PtMP7UWUcWKKiJuRd2aww4ttNTSq/i7N27NegD1Fwjj+KhC0Uit
fQ385yUsfzoqMHYtVcFeL3BjqIMHZr2/rXlt4nNY93R2N0NwGssZBnU3aaZQT2tjoKuxJMMuM5pB
rgCmQGmcP3hD+rl+wK6vL7z8YezviZy+uvYuU0D45xwcWybiuas/UZJXayz9yUw6nbnyBw//AXk8
THLOyZ6zuHw0eDTX+0xViGqdIz48lcwWD6qPq2VFnHShE4Uhy51Jzly6Y/jKnov0VJmWegL67HoD
wQDr5cwGxzAXWBsHmzwUxp50HNvLlNcvHmenaIx1dmkFB9PCe5WsTwEUp8mxDpNwTY22XSYRdS9Z
kdkTAqzKT24vXNa+F+A6vBblBcHgEiTCP04M42vN56YC6AV4MHzqU9Q8gJMXe9IpB2BfxhwRbP50
jqBokTKyEyta6NYONMm6VG8wrSgU9uoh/jvhllXyQ5YEbCc8mF1kQRu8iryZtxm3fuSlgOWKxYZz
hkUSgIA+WWSJpI857666R5Mn2LAm2SOvsnopSJGsrUzUFzEG33SPAMITldepfYU5bcZHvZFmPEgT
ZBozhjcPsWKFfb2fojLwnWkmgvQx75ODY2f1Sb98SpQwoDrpn/HYdi/B3vBT6fe4MMQP8e/f/hSi
6n96+wCf6SDzYyFR92ctJMczWiMye3Ud6KYxoO6/TnJgkiiFB25Xpv5WEyP0WSRCbIBccJxmaRsa
wJJ14UIUkP0BOQU8fMQmtrXbE2TPzSsLGJ37mKqWyuXpwodt61SDiTXIOB01bngJfaIahLUEokZb
HzPrU+DSp4Iw+6hLZgQntyK9sgRRG8svwg3m7WYWFYH3Csb1zwBAuXNFW+PABtjC5WCYHRQ1asQg
+nPMuxbkP/HTg1Lta4PIGrALnXpOHZFMkyY7MRXJQ5mChZ4QUh4aGoSr1JLtusHuNMcecq5E3T30
tjnsskR8swa7e1A1bHBS3kULnyKrUOFd95P6cGbBd7diVmqs6pC/qQY6cLmbV/g+YDMpLdp8t/C0
F3YVPLvKDZegAxdLv67EOfarfQYo72uWOzOdVzI5dImULONTkNZnCXvddd8n/jYswEXRB7w+gVAs
a8itjTyhkVfVvUsb71tkaJKavsRlCKFNx2y2JFD8iJQYXqUiUXPH6+tFw0L32GB2msqwJgsigSiY
gLUN1SbBggsJ4WUKGNx3C4AZiLiX8OoIqgobHrUoTfIce0X3RkhSTmrZtPN0EOnSb0wL1o2efKa+
D/cdN+5+RKDDN1Et44lwrl3h0nevM87YFK84svMzFYCxoJg95dziE5nHZMlcTrdl3/YrH56N4VAW
c0uBxZ7B59EEuvp5KES/6ICLW5ShwA684EcbdqyTFqDDN8HkiSDZ+gspJ8RsAhjYhTFZQC6IbzLA
YjTbDx3+oAXCjbwDbSHb9VGcnvWhrk1razBA+MYqZhjNNMkJ7Ny80trLQIF/IKuXnlSn2i+qK1C5
V6uh2REiSuZjaVhPZWQFBzut2r3ymhOIAID052mKLdyv1BTFzkyiCwWvex0FOVyCmgTW6QYC0HQ+
xH7+Kn1EjSthNgtdNJR/JBW2h77dyYPweT+JjKJ4dY00gUGpiLc2FXvANAnwz1AR0wyamOKshmYT
q2JYHir5Ua8bGYKYCNeMXXQZamPfjKAsYIeuHpEZKY51lj5iddIeVJ/iSRqktZGy7Z5Mgpka0PB8
iSDJT7x35TknnbPv+2DlZW6cTCGohYCeCwj62GiqUJ67Pghgq8zekGNEDwmFhDVNoEt2KydQxIWv
Eewkwr7o5hUiy09Yxog5oPd4rY1FuNvTqUktsS6gz7xIaKWmkrcwbhG+U2xvp4ErsE3CiotM5VgL
Y8ZLRmxjGstDJWO6KVp1qlXqHUnOl9h9zl3q/CylhRVeyt+k63WngefV1C5Js2iS16EB0DfF1kWJ
tH2X7oMkgXxsWUx3dTiAO1xnoFUwARJJiikdEn7hypSwIqzwOJ9yQ1QnOJNUp8C1Tjkm/a2u0o1d
2eZLKZ1oqosAN+UHw2reGFLCZRt414aZ3Vq2MPjSxSCJBkTe2PfUKPwrtIXlJRflNBtLVQnGZhJ1
Yt6bvbEbxgPQZB9nGXO6ZRf73+9V9273vhSMYqQ2cPffIwO/3QLF+16HFYHjRJuuiQgpKKF9vkpc
K9rLJGlhAOiwA1KJauFUTn0cSBPMaQ5pDymjE8WbeVXmZb6FHjHfxHj8VyIpyc6BUurCVuZw7Gte
zkOAPy5iYJCedqV5rbJz03hAHZAhP0PXOl11btOs04jyI8xOYBREs+bVDou9WeNJZxmwBVbRfksb
4UyB1MtPDtKuKwCpzFVXCTatSxt0O0RR15aPq0nPGF8Zsp6SwLG++9hY2Gbj/yJV/mBhDTFtERU8
SceYQ1ykendBKosxF75GHT6hjFl58opErBrFDwSP0pLZRC57D1gZMyCILfix/Wx67Zvt5+l74e+B
0oTAAh7mk4/c82sQO9W07qz2ArkXsagzXu5I32xpipxgGBntCQwjMS1aZALqEraBZZP9MmNss2iB
NYlPXLjo5UW5HQbH29vAkcxiKq0XeCXvEQMhSFRSC1P2ojX9+nsSe3BhJWa9QZgyuBSt/AVuBSZK
ZO2xI279c96KdOskEZT88k4dcjpuXzzvLbWqCLQMrlZWzMXSj7BEgmTRWQCl+4MCJjeBpbq6qNyV
QJg35qIpOvGM8AQSJOiRjAtnUpf52ZZtCRxAuzKDKFsHA/XX1pCWO/xfsqUyuX+kbk1nMACHXFWf
0pWyE7UrKsDx+4SGV89121PQjCbU6UQ6sGeske6Nep7tEwjwLZFB5nMN7orwXc58mdRrDf0SEDYH
UoRwiFoB+tUKMhHQNL2aZldczLBEyJTD467psqnjdnIthBXNB2IVryBi/ELWpT/VFNSO0ol/JuOc
6zE6qTqjmiY24rAwnvHXXdKpZd+x4hLZkiJeKdofPm0g5imsXwZSFrWZBI+16Q5zy2KvRDXwUS8c
esrHAwj2cmKn+KGGvmEbEwSCrNnQBHCXDBt60h0p9d0lSV06uddB2Q38Fg8Ty3gV3S3zeh/eXPr8
djGYry8joBrg7/OsjAgu0GVV7I0IAUBwBrF+7pxsR1P6LWAO3SdwLC3j9mFwnGRqDzYEaylY7k24
CSix9hUIKtMB+tqAnkAUn2aw8S66TB3hw6OOyapQsIDG5jhZVdgpzFxf2M+QO/3uNH3/jvwc7JoQ
toyw224MOIm3nJZzidg3pkvtBpVhonYN79xjHlmZykhnWe1bj34aBauQGQVEGgs8r1b2AiBMNhsI
/FEds4KTWwj0SO54wSL1nR56QKxcEFMFu7IWAm6mXDx4ZQADwrHufrBa8keXltiIqwWAf2E1AkXC
tn0mrWwnReAmTx1E3Wdd7jknRmNsUYGFAJ4b9ksDKAIgJADfAyFIaddyMiR8LxsHW0BEqB5y5Jkm
IGX3a11n5XD46gYOUrFBTqmTBL+Qi4ILwpSHEblEDlbJiW1+Nw1DbYA8HTauAaYJrIcxu6sxNFEb
EgtB9mK0SfYqzRiAdcCBRuAyQQA83gCV3kEAzfGnrCfN3AeG3osTJCSjPNmZVV+sE/geYb9mGrM6
GGyk9mh4UYG8wGZ5D240nMyH1ECAhYllaDXlGfE0UJJhXAIeGwdt3MeqCZTa5tEvVbrvEddAKIQ3
j6wqyYEy94rfj3+F/bE50sH/YIjD0r64sWg1H6zGLm5Wd0gAa4K4rkvhanTg1Q9d8OPYnJeBZLMg
aIYTgzTWxLF4D2aCM5xudVD7WNoZAfZi7KIbsFuARooBDRjUVBI2i6ZXYAE8Cqj1NKh3QmQfZxls
7GF9jryrkcgWro5jn9spZiL8rjKzW0AyH7qIHiQnDRPU7tyi4V4f8DOgawGmlQNtkb3X+HgB5OmZ
1wbsTktMi1jBBmdr6CGOgm9m7TVecNZ1nMDTibXDqkyJDYEpMLtE5iML30MNziygqVKrA7JOzslU
yps6YRydY3zqpQpge2pga1nb0QA2mhpDCEcgWGedZ7p4TQO5SSsbXJzUfe1A6tvH3U/llEi0ClUt
KEHgtkpYsGnDFmux8cxikM+5VeqyPvDggCyvWnQi4XOETZGiqMCElEb2GrKYfYOZwKiIYvAnzPfW
lKdh9AAsSjJ30yY8+iZ+FAn7js0VEvCiAXhfeHi1jEV9kNQGqtajiA6A14Ymuw98mAXNDJnZJ6e9
JG4LYqPpQ3olxBcMSQQoJ5u0ydahb0vwNywjmVYD4gEu8+DoORjOWR/qGJRArLbEworMj7qGw6e7
6e163WeNe+snLeuAhJ6/Y6VHF1U64sQDy93wBJEWCg3rqxX77UW2cmJCBPfqBt2cMtM4jwv1ULTW
swPE6g4BgvBW9Cq4p6dKpovcrlLY/HVwwKgg/7+EBFOGXGz5g4RpCecAKeGNhkiz5G5/9qCkMVU0
G5YeDcmWNcZTnJbsIsGQdEXTXiOlGhjnEJCeuHWoIqO5Ukd60w4a1ZhhUYQLS7i0OoRmQh4evBKg
KlC3wkOR+j+tYUifozxt1okZIyNEI/bsgy0zd2WbrHQrGBHQ7ozdCugVtMJmAiq3zHgwiWte8P4A
jAXVfdCBtxiX/sTHRnMbGAMAg53nrDynzWZQEfHBmGItBJuAHgMP3H/MEUqAfwUxZ4jro1WZ1rIq
8Xo3WOAhxBJDvxMw0bkea9MuWlZWBVNxPVYAdIa3PeJ8Y2es8NpFOQAZr1tZh9ifq4b6VgRMCy8s
1ZsL3bmQGfKbvQs5w/FSZsSKeSMQGLuN7ftwFiChvdSdnY7bsyYm4a0181sBfYu8Xt3GJhKJtw4p
If0nsCE2psiwsiXMeFZeQLtjB+n7RZ4M1Y6wLdAnydVop51lyqthBd01b/onsKjovnSLflV3IG8a
Ti+PgkOCLuko6EVG4t/quPW9HqCndqvqIFZwcJFsDs0KOrcpdswAmscbIok86msUMI6D5kmRLEkB
39WgkFjiJfChM9NsG0UgfoP19qNAcOp7VcHcGCgP75iHXrpKerLhfMhPwmOPwmTRM/jI9ga+FlC8
pn303DDOF4i1q4VuBXignSJHSDe6tXSbh7wtu1OUEOdJfG/rPFrZcQmbROnBuDv3m1kL3uqyTZHk
hKcFZJBoBXeQeeoFf5xm46lr5bU9/dTh06mbW9WCKYQPIu8SgoT55OPPe6AuYLw9jZ4c/NrOYQaP
urFkeNI9ppG66FI6FJBALeQPXWrwR4O+DTvTpK/jp6GBdhDpkaPTV0354CxCIFNmqW84RxWaHwfX
WAeGjI73aiz44bAZRo+6070+g5HkPFbIFH9pKKPUhGMm2AL3zroL4hHY60DHTP6+Xdhhw+g1lvUI
PvwikVy9ksEPZwMHqFlZhbk3bYS7gJ2eEWi9gP/exNNkdEHRB/gqfZxljkfweBd4hwfwP9Gt1u+z
rMzpvO9AKPnSoDvrVimM6FMryD6wX/Fli6gEYq+3q7YtHG7bAcA9AVIxAiyj5xnkwj4OKZYKcC7E
QZ/dG+797g1f+v2DLvfLDwDEw8l5vPF9nC7e+9zv9A+6fLnUfexffsq/vNv9E9y7fLl8qx3gvjR/
udP9MvcP8+Uy9y7/7vv4y8v8/Z30MP0prU7VCxEnl/ufoOvvxb+8xV92uTd8+SL+/aXuf8aXS92/
sH91ty+f4F+N/fvv5S8v9fefFPIODVaHDmzIlcLSLhkfQ334m/KnJqSiMKoYvYH1qFtZuKz8XL4N
+DTsv95BV+pL3a7yv/rf76pH6oOJvPMwv7d8vtL/ut7/uj82M9h6SzfF6vx+x9tVv34Pn2v/v/e9
3fHzX6LvzsGB8GrZLe5/7f1Tfam7F79+0L8cohs+ffT7JXRLNv6Xf6nTDf+g7h90+feXAqZezBQc
fiZuqtqD6ONg3gARP9XFuBslA9yiBXIHrcBoeVOzJuHMIG1pL7MWpn5tQ7GiHJt1x15FwMQBvLID
Sb3Z2CU8m2a6OermrpvRPTC/YNDpqm6g2bamWAVWdmUvbeUEMxdJpSl4f1OkGQC9HO3abmZu2tdN
W7qBswdJT33q9QODN/1vozc7+Bh4r7pbwYWhk0LluM2+h0lrrF1IPk+LPGdL5KQQjzLz8gJU5sqt
C36A2FJxMRB92XmUn3Sb7lXjyV1Qv+lnoIUXF93NZrASixFs2egudmhiiVRgaYqr6g5ZVQLD5abW
5H6hf3h3m3SnwLNDBFH/y52pgvKSHb5FhYMIXEHkfgASS018aH/sdTmwg3jaZ/Sj+d7g/u7iuwa6
lD26lPJjmB6rD7of/X0Vr2bxonRB3rUqMFqcJkUWQJ/qA6KEECm9lz91YoTsgb5Uy09jgDz9o/un
WogrZmTaO6aETB80/GH95h86KwkO+iyDd0XXFWL/pR4LomSG9Sl+Q18G9DzedSyCWsMf19A99KHC
9hYqUH63vNfpszgLuhVokL++1OuLVC3ZNtXgb3SjrgoyuchNJdc18PbATCJPCCMnD19RMC38ht7q
daOu12f3A+B1/lYXBy2Ap08Jkilhk36M1cNaNwlnidNweJ7l/QIQgG6apINNJ9DXa0+T2kKQBKZG
Bn61gFAjbOf3i5SW/CQjk58aqwo2QUeuuupeD/mtq5dzgr0GuupDDjjywnejbqrGkbrudg99pXul
vg8JInW7j24wq+ElL5t2qWm6+gw6UOcPvu4X6i5E+Gg1ubXdzjVnV7N3IQsLtAOfUehyxsjhbkzu
OBl0zeu83Ri14eM8NOBA/vmcW87/0XZlzXEqTfYXEQEU6yvQe7daLcmW7BfCy73s+1IUv35OJbpC
lv0tEzHzQlCZWUVb7gYq8+Q5repTeNi343TqNd3yom4sgi5lr73TmTK40DiX3dHrgdUdyDqRzSfT
u5CPndfkj1IH7djvQpkScppOjdigL/AS8PxDOA05a4OhUbrLHesUS1AEFCLVr0UFdiCppLFGxJam
gTSYF75++AD6yQqAz7dktKVaKPpfTSRAguoNGwROo1MJje8T5fbwS3lIUEUFcSVo8egAQvYCunL9
uJDm1cQnLeN6VMOWOEAt+AasJx2o4+ruJhkKtknfpkEMqvfYB1KwBBykSAMeuu2t5qK9kU2TtgFN
3ZAcQo52S2Nyf1hnUtNrN4TRYbQ6fh5Vczy7HBVij8YpWOhPjn5XDdVUBosDySfgASZ7+B5D3AaF
e30E/3JUB+sKQ5m+rvXBFsv1Qv3ug9lSE2Wn6NNteHt4vHuuvKqItuHsI4egvXvCLI8dlABPSwyN
381cHjI8TFQ/AujJR4cf+HEVVEyLPHnm6AvblVJsjg7525kgUbl1TO6RZ8uMD3YaYgc97oD8f+n4
4MweEp/omnLRxFwYiXJZD2XYvQ6NqPcGwETO5CT7MndEN44fze28Wachqx4GY91o/sJ2a6DhEG1Q
HGSABksSgIC1ZqPY3RcmhiI69qXNz2VaYmOadM0hnfPmkLHcUR+4idyBOjmlTzGtDMyoVUG4QEYP
qLohD3lHJifWKx8voxz0IJ2mFr6rSzXxyZ73eMxpVzSz6lc6K6ADqs/JcFntOqTbzoVugrsIoa4K
UK2nTbW5s/Gx0eIH43pAWg//EqC+g0RxZWVAuhPDBVXl29XI1slLTpWCkgyutn6AuC2789gZy9Xe
2cu8AToGunh81g9znjTg+IDujjsUIKpUQuunDjmPeCj4d6cvud+iqf8+fItNmD1/iOX2S4vL5A34
lCMNJYChAzla7nZIJ5XRnoGviS/uxkqQkQTS4dVWobGqmhoo7MgZy2Rah8cyqdfEjtdJTwseMy2g
Fa0p3lPIxylybbTWJmB9xwzyVmYT5LptT9YVmPVy43QgGsZ/nfXTitEnomXNt9hKwethdvm1aTNo
/0LMcGuiz+WJYomu5ddYdZxNlGkAfVD0VvFsDY8k6hnooHqAZpgMQwkjVhl41chL3QbktR0AHchL
c6sBdUjVZYbb+iHW8Q3Uyb1W6kkhX48MfAP81DokbyOVqMhbVFCVaQ0AmjoNLL/u4BlhjkYdFFOv
dLY6VlssvUBwaDsrRbcCxdGBg415caB34+eMCt/MOYqo6wS6xIeV6BICbCdghMbCFLxeO5cfCuir
7tIA1sRso95YAnC8xJrSL+iDghyM+iXCHwDFwgRUw3zQvjSmBpBVLR5FxdGfp2Q5KuGR9sUuVRvF
TzW8RPmsQgARX1g5nVYt+7I9TMj3/nerhpMObgxFgb4PXh4PJnfMnRaO6MwGPssDf9h4TvQkeo7r
+RA1yPb3Tjo/VU3lT5IYDf1z1Z0+QDYqklFoWsS7swWNGfK6md7gn4IlyUtLoiuPn8mbGOq7JUtR
olCMNZy++omSQo4Kg1sBQW8PDyoIxw+DE1tbiF1Zn5U5uaPn8BqRA/h5qBPb3MadCdJlA+xU3Gtn
s9nRe/KcJuxk2KX/4V0ZTZV4A59VlZ3M9NX7aiNP0rXvPGLC48dbXtVR8NmzqnvMpHwjy3Ow6Bjd
sVe5wu/ehiiKRhc6zKV9QHN0fbEU6NlhoWrfaU7yQAcXAI86AxaPRuC20C+N0Z/YaEAAphDFtCsG
PuImiwkzfv8PdpH3vtTf2lWgooNITK8e636wLxQi9JDfWc68Wyfo1pztcQdFVz1NCNXK9HvQpy8x
y3Xn7FpXVbwswkDveI0FCp/0KWzA8CHbHpoexdIBqOk8ALaJbw25/Kw4tT9BFeFRyQM1hY5KNXT8
UUSt7iccwrdkm4C4PQMV9dOVfK9kaioDVEGFerGliQOdvs1aC2+Rclhj0/fAzBfyUbiRoo/ULdCy
06uhcRRF+AXcIfzkRhE/iXACCp1O6YDbu6JA1+It4GNU8+ahGBqGVR81Ho1BdZZsdHMelzXXmKJK
Reivs2ldsxWvn2NZgsZ1YT+pvI12H0KsTsUTNXI/xWYLJZXBNY7OqCTADs4qTumwjslPkeS2QZX1
Gklja41cXBSKgoTwtQg8IxREa9DZekloEyjM/+PVKBJ71Bisg0Amqno3XW0QDAbppGUbGo5uDNvI
puvozLbHwUGx/eAIef4zRr3l8NFeTce4LrRTW7a5BTkVLDI5j7qo+V2kRz3ASYW9dbGzvIHUvvXC
duYHGtIhG5wH1RjTM42aNNVugzkFJQSErpUcuUYU3dCYuU5pwMJxGQZzH4puTnx36MEy4BbfNLR/
Jz44Xmb8RHSQ/dF0eeHJiPm2SwrglJrWB7yH31pbjR/RCABcZfhIB5ZaPRBEZnjMpc3pAFSdZwXi
LnKIav1wLSP92Bju6wR9BITBhJAgmdCKVmzseQRtrIwH9rY8j5X99xqP1kDAuyyo28mAZmyEH42x
2NNw7usBYDQr8WmoODl7KOvPRZa/Xg2sSA3Sl5Z9YHmfAXVTMSRtHKlbBi7RFP+yNApAsQ7FMmlL
KhMg4nVsHBga5cDVj4BQBlAUDenAEisFjqaKgg+OdQjtFmMbmxYwgp+Z5kAnR7AIUikOik0TeOxN
AB+DnnfzFlV4UNc7SXxTE8dLRV385qW5BiR5KDZnTvRI89Hc/3E+RcQgp10i1iu8XZ+c6xoABYPL
FyB0F1T/WzMGh1fWQkLPs9C8c3GUfoPOjAhEAib/0fZpdEwlxtqj6MFKbF/EbLqnQw/W1EsddqC1
78V9aaHJo0jDYkefCRTTkGQw2/MyclBG6xRz8jL6c7x56dMVf/DmSIm9mzvIuVz+6Uo1M/eoVUfo
cMrRepPV7RFwQXBLAQD7MMV+nsiCv7RUauoeran8m1xLUBsOm7xxks06J+JV7okxel2HHCAz/n9c
Z7329J8/zzDOqs9MMJQ1ucnOVafvxlQ3D33I8L6VjyM7iwbL4NUrZ+fcYulxQgswZCHZmUycvEsM
hTdoytlovYteEjmFImltGioT1COCJgLhU581YkNGci9XpPAJTUgbNF+1XuIk2etduhbA+Xi1wcQe
mhgbqN8lho+khnFMmsIEdBv3/D7CIw8SExi7dH8nP3I5wtnUTd/vX99rwik5IMun3OEHEl2dIXe2
U9UzcB3/Y1OlA/p36Mxp9cVegnkHYskyBLLkL6Nu1geaTyaaoOHrE+CbAloUOZ8cfCycs6ULZZsW
E/o5eH0GVqI5z5pZn/80JAeFCLBaW+2M1tr/HEsr5Un0zbbAiNZaj7XCFJ/ODIBWlrNS2upcgfjf
m/ffx0EPVgEqGMlMJ9984MaioQ4Yr1ImAMzK9zgy0aGNx+idDHcOaEEeMtC2FdFFsyM0n6G+bBgF
MM6TwQBgTh+ZNIfFkB0F9tI+Dc0GrffgSFIAYJ6rZ11DEh5ZIBCOymC80S9rzHinuU/t+DFCs9Iz
Dhl+tgbeY6BwYRXQe9tVtf3QhRbUJNcheOcPYwRCk53SuYs3AlnZLbUM8wyK8Ol+Bk2KKdhwAgma
uA8NHLpEAQt2k+iBPda4eU2plZ1n53UCzaKDw/JlKo1o/mRm6cYGlCaonSZHrnMQu0pL2K1Go9Vm
qJEnM0wTknrSFipG79eV1S0h5BBYwAMzW3msdfHXEJnaEalhdgOp6VFNY/WiDb2T+NWzQK/YrZcu
MfTKRbOmfc9sN4GQdiGOmaL/vUQaaNYCOt2ofLrm+mHyCFzfKWAxNTDsJ7Lnvdv7DSQ+dstS64ch
N33A1M6XD7IuVz1rbmYfylSPQJiAjR2TO0snUcY9oP7o21KwpfdWoyZm4G5pv0jhwHwjEqT1S8y6
xOpYbesyUPtJvRm/U2jdT5+RQntGQ6Xy1FfC3FWDUe/7os2flBmcZQA+/vg1YEogeNFGSMsQFZBQ
0SfDQORFZIBqbLHAaor3Q0MOKZi8FLwOyfthbmUBnt4DY+3zwWSXIgMeaAqdF+BbtfAYaaBLRxMP
WL7aWhFI06TGBblddqHobuqDrGX8VPV/55VpHGNQPJ3QSYr/qkaBTiU6Q6sWJGKwQsd8OiElRF4h
Q+iMDm2HJqnF83FsJT07WuMPSJpZ6IuWcbQcjZFEGtAK3RxTEYGuPcrGAm3QOLBZi5X91CBhP+M5
4o9mUzp/57lRnIAGrpH6TIri1AER5Wd2qPk0qXNyd5MMQ4J3q9JWjAu0mtG1zgU6AKVCuhyCNUpc
3TgcIELuvnpNdWxvM6QBLmjAe8aus3oZinT2tCoJn4cBcCRtrMRz2CSm5/Zd+RzakB2sqsiFikKn
eIqJnt2BoaMJZQP3qEGddunTNtI0XIYaUT2ArebdcPVSX91/OzfPo8S3Obbkvez+ZAPgMaxNNLwr
uPbFkmwnKJ8BxS5QMzzxqNmQbQLkcg4Wt5xSjJW2aeUKBhq6Nq6mtxunVeo96FOcTYa23S96ln7u
0GJwU8dGv/KiyT2yl8VoBIUKGLkrQb1of8armfYSzk0PfUpA6gDXyr6gu63zusgN74AFnB9qpb+R
PdKLZpuHhonEGC6SdP12MAAn6sGz+Zx8ZXE6/eRzBLkC3NZuY93Pe6ifNHvVKKIHbAeBobdK62fy
Ve/Bf0KRoDcTNysFLczrmzX4JtH5BE3HABQWOXqg3uTnyYhWg3wjhJ1fgMazr2WjKL4SmXiavZ1F
JVKlZEvezlbvcpZO1WUoQY6VRNYtxtvrAd9FdkcHNLEbd2YaQrURyoHeBwcNRRre6rpwDhS7RoDn
HZkwE5jTMY8eQO5XPmptnm5CFbD/qkPjWKrUtW+Odv6jn1J/NsT0NYK62GZus/cRnSyR/NsI4onK
08QvkhhqopGCho8SVJs7sNsU+BUpanwN5Yaji107MFVwgi0iyjFtTmy5DSF/GKG/QUnMkwvO0CFw
pYO8bu7gR5O3F6HULZpC5J7m3TS5NmrA06lrL72U2tVHJHxZ49YPAsDEA3cUfTvNtfIZGawlgqHp
xysEiIesFC1RJerDmuRbhwr4N5SetROYdfsH8CiKO3Cf71mJj+2rlai2ptB5QLF0YGr+DRR22olG
zZDM6Kkc9+Bz7+6xufTHuUVZMoSYGwnl9h3ycBVDdmTuevHJ1suAWqBBj4rtMORUAupydnRb8xzL
Ui9oUPTzWBuVxyQUYgPW/cpCpwxocekQW6p6VEx5ANa8wF0Ep8DWGjpaCobvBe6NqBRID4XLnvZ/
dVpGEIFs0Q6LvtdGTLdE3q9B9mWihpOb2NajcaH8aw77crtKes7A3ULdr4FWoLD3ZP+o+kkhZcqm
Uy5iw5vBwhFQIDnWpegsyrpd+rbUh7DMuSquVnTJDpQrehr0hRn0vVXem3WOjaaRpbtW7/Og0xPs
NNUcjfODCp1Ro/3O68Ld6qM6Q4oA+tSkXU223h1nf1Km7kaOf2lT5Vx0+KE1dY2hKXnbcX8QkxZQ
4XEliF7Klu/qmDHUi7Yh55+oarm4F+7o38+X8qbBIEm3cE4P1WBtx2r45CQByC89U5/yCxfjGG8y
Ba2edvnbMJNdxiVHhi4f+x2N3kJ7vG5eW3l4s9OKNCI7RbzFk92QAklv8XRJCnW/Wg0ImGrJWk2H
qg6tTTe2s7fa6EzyZ170ygWNLcWYDngJ0a//Oq93OJqCKJJnDaS0eGZvqiZ7H7Ou2IN4bYdq1E8o
H1jHpjHvlr8HDcF6hbZo/AHWfxGqbEsYmZzSRhXgbeoyJM8HGzK+38KobTxN5+qm63FnI3aBumM/
AagfrxGgxcCwah5xEHRRU5wNAzyhFEWT7GgE+4KkMv99Ut9ll9dSiZZoUPo2SrS71ZmAhhTkmb2s
tqYLjSPI42xHgVIi2RQZ8z4QXdcb3K3sZTa5kRPWUFlE/g3YawbiofQvA5W3g1IKdk+HuR/twOZd
tFltLdrrUEJUI68oVQPbYki1cykSRgdkq8G32iLnXU4hGBylcFhsZQxi1F8p4J15GLUt6GwLn2zr
GsjJAffU2fayBjmsUnMveoRXTXmp4e16QAHl23k2+EcH3jl+oPQ6HtbFGxc/g9oY8OVz9T0YlEAJ
I0VbQWrY3pheoc/aNq5dCRV6iEO2NxlAJgqgQ2q/N1GonAiwsrlM/HWtdflf1xJV/+ImqXZ09Niz
LbN7oEOqVVC818LhVdemr0CKpM+ucRjUvH8Yx8K9H4tY5qigJcMj6KuGKqKXMRJXqMWX2mu0jXac
+wpbmY/R6/VohirXJ5swJvd+wvo0GmrtOSni5ylL7NvE8brXZCw+0JBad9zZPqELrbtQD0+RutEt
1U40oKAYzPToZTSeEtn3Q3ZEh7tsBGqqNdEM5g+Qzgu0Dr8cmkEx6EB+vdS6lLyUjSQuZLfxYbS+
im9hiz4/uYaKzqszx2UKV1a21LDcRmpc3ufA6d/HxXjXzrk4kYkONViddhDF1kHmiDBkHsElnyJO
NQEeyBS7OTaTkdpQEobs9p62Ehk94uiUDuBwDINe0zSPtilko20Jna22dcYHGy1goOrnqU41bGI0
gAIyBL6wd6RhaBa1D62anxY6MbS7vhKGVaLdmKYOiswR4oJbBf2T21YWSOesLrZoM8i2jaymrl4R
6T8mDQgalPQSH31K9uYDTJ6G5K1Rcly8K0ye4PSo0sbL3A+OZSnpzWZ8k6FtiOwWuoigafR5rsHU
FWpg9HdGzfwcDvpXCDKVV3IOve6BJE9/aorWfRB6vCNzXECIj3H04U56Yn2eKrU7lGqdBeQ1o07Z
RG6KOpq8QAjt4+UCy5KT/eECKCa+u0DidM4WVKZAvaLNpT+bceZjiLQLDQsTgD6h6X6ejUcQeDrn
IRRJ0JlJ8r1BI8esg/8UQnDGluuVBVKLKvs0Ke2NAgCgtEF2EbHrOhPygPH3RsMm2A2Nl3wuzC3E
XfC1MsFan08F+GEkZmWUYJf1QLYSwivgvS13q91NWr5tAJREngviYB+m0lAhMKWciz5d6EW9LSwe
0gRfJnOI2tobpD4FHaxqQKKKTtsUEKxeHlY32cQcxcHMkQgix8cllnXqFoViZKEDprfWeT3wYeyO
Yw3o0ps9AhrpzCYQ7QX/nKLlcJy7dzFVn0y7rHe/j9FU3YErWb+0ypYGoIaGzLOF1/HF3hQ7spOF
zno5h2edfsG7zWqOICgJTjsUWX9Z9N16q/2XRSMIYo1llzi2r6NzSu4paANiho61m6bs67JFocKJ
PHzYf6BR+AWiX8DTSifwZfo2SSdki3+NteVqTZx8XXZA5F32M2PDAwCanFPKigYpnbJ97HI08KnK
jGaUorHBI9zYT8JCZzoIa/6GhJ3zScP9Ezk8LTzPaduedAYgJPSL2CP+5tyLlV79qfRX0vmSc8xG
f50Takp47qIE0txZJTYaF74oKuyKkdH+2uP+7I0gcbm23Qg6DzXC7isu5q+dDe4H8EUKP+/A5Whz
UQWoqKRXQI+ng+UIZafbXXVzNLfBzgd9WMwF3bIkDxMJv5/GTn/5MEnrWwVsq0Z161vwHjhCtw8G
d0UB1Qm8QKI/qLW3mVmyz1k73eXCyX9kLEMnJd7eHsCv2aLHFBGxorLPLR/vKH/2p4i3Nf5lBJrY
HL9EF3DgDNkn8FIU9wR0GDYqqlufTdG1aACLnwhQUcWqdZzAsbXAHIqaAeoJNYwtm8BeNYBvd1ez
cvSryoDatkRCpGWyLErz+4AWFUBL0qKEoUBjp70sOmhi2KQQLQG0GK8pqs3vI7Upz9A2wA4E4mTL
kETqiTdWgwm5EzCsyNcdsktTm6rlmZZ4W4dMEPT07VTR8GcGfb8F0CMar0DyEZ1nS8+unRTSG+K4
/DHEQEz1rvtVzGoY5NhoLRFmr45eDJCOC6Td1upSNFC95VNBB9BdqzrX4ICMnKD86Wo0wYMNmUsF
WxeajaJN4+ngfJAP5MgKqmlGek0UxbWowSVKuuZDk04AVP3uaC0FewnpiJBRW2Zko4tvsXREaW2c
dQYe4suEVFVRdWr3+Jrf4cwuthMK1KR3F4SjUL/12TOUQosfyPSpfuKK+U4DvumMBnZQhL0GlGOy
aXMFeD4ldXaiH7am2tsnS4SmHSBdkm1LECkCZQSNeXInim6fEvx7QD8EvcocrXeHXEcTO/3LALPe
MKD/n4cJTB+rHdw4GyPP4uc/xFvSriduBWRjBy6yCvQeedbiVypzkjRWnaj1UDY2IWiH3IVba5Nn
WEUPydiGPXeovLQ9kpBIDtzF7VB7xLIJnhVQWingO6ShYRn/flKjGQDnleKCJFUF+lt5UMBTCXgh
9DP6+R+bdKSQKYMiDAfsSbU2AuzGteY057QT4hbLQzmZm66uwO4uR3QA4N9IOrx0SotbDOp1QK2Y
RqB0BB8HkH2QRI5Oqymd2uLER/ULmehgDW51cFS9X2Z2SRsfytb8CxI9wwncn5AxGqZshDhoNfgg
QjdRY+I18u3SSB6KpLMlnMZGVPxV5qoKvEw2nbFl0jbNPHKPsJYaR/cN3svhoTHF0BkdwJIG3oLs
vJpB3wsAZz0MrxPaDhLbzaxeM92GlJHSuzbuyYqOv9zQhhvRRE6QZkw8dWOMPKrp3nQVWK54qsEe
amnKiZwzV1U0VEJonbwO6J/2EK0OffI6eNRcLGF/Q2exeDLBBf0IOYCqbdvBr1rl2nBwi1FkZaI7
uxGleqB19BY/nc7kYkNevRv4UUO/K9gw8YmA40jvU70+0rIUASQkCPuU5oFGSQkiSmw5mzOthpzV
ABL7RoBGy4LeqAE9PFMbsQ2bY/1TiGZWFDwS0ERBiXTP8UU+MNDoXtCVjVtzG9VPDcgxPJVDma3C
Hy1EwieCXFAXqFE67YeoBOBC5lSxndb8JIkbsOJhWOhVzDygGbILHkrga6kNNNsohh2kfar5eVj8
EhjbEAEIm2Krlg1UgGUJTpEluFCW5nLkgNxx6u/IRE6rA4GN6hp8SxHksAYQOdF8sq2LaOYAjG4x
3JFd7RQOSRpoZqFfXzu3Q1Pu6zi8hbNigPqLKK2iQgeRlQaO1DlMfxR4loNcRXrizsUptGCyrQXt
YI+MUMNCOJ0uoaCuLDfDgLIU5KkD132Oq15c1xSAUAy0BYSJsqfEATmSzpgghN21AW6w7J4cud6h
5l1pzyDIyI92VZW48bn6zigG967uoWtQmAkEFcJ59tXWTp977lSePRfht8Zp7jhHQt6b5q81Nnz4
q1Y9OkjG5q/MKD6bPCu/Dgr+a9G/LD5hP1AEcZl3t2GskBAwTO3ixNO8F5E9HBvV5VDl1X+7cjUZ
769syisrcX1Xiwp5lir/iqL9+yuPQ/Y5rQvVT0tjvM5JuQWJGdi4Z0PZGZVQvjGO77k7ZPoj6ECc
DSj+3TN6/scj6ugQFeSpep+B0My3u6Z+MbvhWYK2Mf9vUBuh0jln3xRNUZ+j0c4CHT/6+ygPlR36
t9NjkqXdZerTeWO6c/VkxyEIo2ND+w4hjdePoeFjKGEUfR8YkoAfPoaY3d8+RmI41S8fo8WLzYXh
PdkfJvyeGw75ChQhiidQwVY31uO2IkeGq+IALF9pi/KOTHjb6gK3Y8OOhjQ9noFVomHPpmU6+rrt
zpdT0RiAHnOQItuzkQQji83HsNKKG7ZaACb05iP0BMzHMZJJGIggncjWRpFE/UquK5AcPwJhVNys
8HU6JMFQT0xMZBOMQT0PvfF66ORZBvi7pYxAl8qRlYwzcis5Q+JUekDOA9UeTT2oYKkMSNfB0JBd
QAlkPoMNFpp66g8yQ10UUjEyinRqKKqchTjXjXrDe0voJ3UNPkzBjfY8SgYVOuj9OOL9GGTQCegf
D6sD0giIVt+ixdRuqj7cQ65z8BnyZwcq3uUZuK/AMOGADBU4a/KC89o9UOGv0GfI8Tqgl7XCcLMA
B2Yex14YcmdXJVrLAtJ716QRmgrOjoTdSSyezsirg8XN66W36YGdGXgP1XWQhF3nmD3pxFIrR8JS
n4jClnxytPpkpPoW+es8CAwvkTVrGRrJAAsLuSk2WQ8OJXoFXN4GyTglNXRC5MsilcrpsEQbPUOX
L0rz68EVitiIGm+/PLb2qaEwgBQS8RXArqDO3exZJG2NVj/YiZs2S1wwWTT5YneEZBhzQvFV2td4
TTf+wusbxz0MuZdJMrbToc90dIvwIUG6DbbVG8m4wu5ngB1ot1jmRXwXaXhw9T1Hp4WwpxfXDaNg
YoV+pOqOXd3Ps+ieP0RxO5W1xWOOHfxNwX/awCwULpzENgKnjFHglMKsnHXTrRH4L6Wyxqhjz0bl
tYkp9i03VPYIlp2NgucNNFPM4azk2K+RUo2ea3id02M0EUkdG8i+lICmx92JvH1uHgVoKx6iKDZo
DTKPkBY9xwXWoCUZ8mDAI2WFV8RVBgWrIX6sRdOAfgdApYYl8WMF4n6QtTj+PIF91m/YCE3DMLS3
jWG9ejNsq2kqmf40X0aQ00aD3caEJg16B1q7r+U/pVsIzO3KaM74p3QLZ7lqxu2ZvLOsjJMX1XEE
x+A3X730a6JhbOvv5/4pmH5ruKtlZ34qE3vyS8tVnpRI/HYmJv3Vxt/OPsQpKbTcp66ddl2ZsVM8
OSDdkV9a4CAeRD2JR3Ps2akeRA5VQ3w5W9B9M+xe3tnpyxz+E89TcIHOY8UtdVNbNhJEIDE5zV2s
n4TeWwEk4ZlHttXxpyFyCXrj0bzVzcrZCvoYCtkfHJpcP8cTN+gdBokvRYuvdCiq/An9qzYQj/+Y
6Ay8bq4PTvl8U5FeJhnrtANtiuWAAu3X6CQG2D23vq9mJqJkvUJhV69XsE1gtyRrnOvrUZxvaMYa
bCnFY8SLg6KAZRPdS6nXFFO67aHyCS05Rz/0s9rcqbLSq8SFe1IHQAxkpRdP2u6hQ84JMgsNdFtl
BDmKzjho6CFbJqG9eAg6iJsJbQ7vIEfae0ru1l/6GuVIUy/iUxGO9TP0yBZ7K6BSBEEiY9NkbfOl
xruqplXVAytDsBUVAkhjaR/ldHRARev0BpKrj5E1fIbIRRVAey975CrSLXRGNi5tQtro7P8mTqmQ
XihVUJdPU6z5LptBty/vaOZuHkX/YuixOAkVmGWyZnmh+RPHHaWOGfQrNsMMEmwXIjwKCPK2bZdq
OxK6mG12Z2qV+pAVU3afdPpPMlOUkzjqrjQM8SKjVNfesQJ4mEoxHvGuWZ40EzcB1OPNR7JVcRxM
aHK8MRP6JCmEmgMbqOsdRdAEQyDdKQVgH8kmJ4wW2FuXPICjRwlAfNkGrN3xM+DS7SEcW30Ty9SX
DbvZm+/tFbZFX2X8n+x8zqE+24RePMXDXVZyZ5vpY7Wpyrj4BBpDtocupevHYV984nGLpmU7sj3F
xTCdQyQlatBjUrDGwOczFvyOnFmdzg8ZSMgivDpx6GwFRVTpT/rAkxu3e74fM8tRkYaz+mONh2Xu
cS0KDwbbaWbXjT/JoVSguzoV+tQfl3DI9kFvBiJUQE81IJGZ6+nOSKrhuQ+syeDPqtL1EJyaco+G
UT1IhkkFMrDSC1XSGuIKaGWhYTFBwSwy+SMq0+7NGawLmfHXBUNRBJB7nbVY0oEKWgEhmD15bU18
DQ3Rb7Mc+7v1cYvsSC68BBkSaAG8ewzT03Z9+IbTRjb1vgsgX0wKLHDOkHlZntU0UUcOOgEZ0tkA
uzv2kBrfjrLKVgxT/5DM4bYf4uhKpkF1oHcctz/JR6Z10mr7dVI/zc1JG/hPiv/fTkoGoMXA9oCP
NnQO8qT2dHXTCFCPuuOs+S7a6KSkeNt8LMO+eiqz8G9NvnU1dpt4Dl4mL6ATZMvQ+nVI3jUYGavu
sg55ho4zLY+awFUOoSE7iyfmzPcYRdRnPP5xxOyy9HhuNQ+AhOi+WcT6zdE1sYWsdHsGEdx45B3E
clzb6a7IL7NAAWDi09xASENUTfvdaeJDpwFv61WAc4OfAEKhBfsO5Z34xdJt3c9QbluWHBVJ+2iX
r0vyGYClgZuvS6Kl/Bzhu5v0HX9RKn0ENSPOBHrwPOgc8JeywzXpjEvbH+MqNoMm1gVhqT/1Rbwl
bbAQaZWLZYPiogFx8oaG7dBCKByKnKQURpphdaHblzc7SYtZSGDgYZyleBe8OCVkgz2cGCGePx6k
OpaT965/E6MC8HMc54Rto4ENQTzb4SFxXfFiQ8564FX9udOq9JKDIdqboOvxQmFJkikHcARDZ9Ow
vVof3X2a6eEuRrNigMZkY5PwGv/XdT4PAaty6H7QWPTGAFoRw9hMEBWCLqg1b5hq74Bl+hmaIjoQ
bz1AV/2Vzt7sq4nss6kt8URxTyZTAkYm2PFUjQ5kJxM5/6P9w/r4jr/7PL+uT5/TJUTH29pcN7cu
utq2mmIZ+EL+cxhBZCv04TqUGXjfG+6gdFGm31tmh9kG2Hbkf9oBJCNywhLD5hRCL6kNVZgUd+nf
l1otb8st01NQ+lpTAYVwqYZgVKb8FnW172pOviUbaScMYD6947nqsVEHLzYepcyItANKo+qCG+NO
bnhm5wwXGyzzn5KGvT6A0/o1bIGRyTC3r4YLWEOsT9k/YXM//bbar2E0vQoj/Bdb+PazGRtjKDBd
+9qEJj1r7FvSJcYNaE+O/mF80Sv1nPdgtqDIzmD93rKYA65EHZsSGd/OCagO4xZctxQjFNPy2g5o
Oh01liVGXgHsy+a7K6jBEp7zcD6DNuKeomnZycV9iy3FIbWbjpMN1IoRKsU+hw7mZ7VGSSK0w+hC
Q1D97dqiTx4VKNI9FoIFQva4ZjnT0fXUVR4N51lje5Axq4s3n2IAYaay3JOXlowhuHGhoVxS5ODk
oyVL0OvkQ9RfzCgELYriIlkR+zrlTeShawvAxCEHd6Zcyv+w9mVLkurKsl+EGbPgNcl5rLm6+gXr
kXlGSPD1xxXUKmr17n2OXbP7IkOhkMjqzgQpwsOdR/UETbwk2lLXyGJxMnVoFg1NXD5FyBs92vkc
SiGHtgHl8zK96xo98BnfGL0FlcIo9e9lg1I1U6mF1mIA7QTrATTmA9gf/tNDeP2plXjV/+EB5BTC
4irl8Zc1GM7va5lY0IfHnqUwN0DiIKTiWjbaSdHuD6m2JSL92TaPg1QfJPtNCxZYp9SMndPYyEqY
YDVFHqw5M+oiZTJ3CWFDmJpYOLNpwdR8TCK0Dnl9mKhHrh8TTZQjnOMIpdSpWd14np0gP8geAQ1m
j8w0X1DG1V5AEssgWd54G8S35YYGe6b5lxEhq14Nkqks82vFchOstJidJU66QUl9u6Xpnt4ZOIm2
3+fZahKkNHaA9yd3ZNK9AZsqED/v6BPIweOnGHrAKxqlNUzk4ErdHO7JJGoNFUSCZXv6CFDXbo6O
6eoAgPzziUD6A9Uv7YEsvV5A9Wn6HqbJcKAAXAeC3N3U8HoO4InE6q940d7TIH3JkI2F6Hsa39MX
LM56lH38e3pX1PU6dk3QN5eZd0jwHgB21zv0flM8OWZaPhXYJ1kyk7eosfAdd0w7cMy429MgENLT
3gJRQkATPqbjeVWAxHVkG8+t0qtlPRJowsRLaA1I7wT2HfDdZw2Syq2QyXfQ4H5zOfR9QDTiH4oY
aowsz42vmEjjNHGsNW/tpADNlGtNT82DoyD4htaMe6TFDQW96O6RF3ZWYd3mWw+sBQIySF94llhg
O82RwciVkpSSclF2IGvNT/Z/+yNneDH9NuYHlC5LQFgzIBVU5O+PGGDNkjqwEiQ0loFPwcKWIoFM
gFWzTPAMH4YKXBoivIeKV3jvGsiyYHvs7wbI2N6DIwAxfxelX8Lzz+RhhqlxJ/m3aXScNMj92D1q
ufYrZMJNA0exA7dqSfKlNWhJp2mh2afu0Awmgrcc6t3hgKI3dbLDc8mFjF/UH6jbmvo6Bivsc4KT
B7Yt/+lGr4rBgYK2X/R/dWvUagRk/nBT55h5NbLTTTVud8tNaTU+gFF5yASAExAm2/VTlp2gC5af
CkOzdyNQCLdYVICxV4b3yEOErhvTqd7MJH5LYlH/alLo3WVMxitLAgLdxtUv7jdvoxaXb0VTppDG
ydjjaOLHXGtxfoNAxftdGkN+votrJ+kGebAW9MdfG0t/Z42B0rQ4AbNFHDGfzNCGnGll/majSYqC
w4sMSGz43iZH7O0RIjHV0UHKBsI8jv1Itqj70gt7eBAGXge+A9nhdgIX1uIP6StAGjsdu9TWaO/n
5nXoJ4iWVvadM0r3aKnNqgvsxtbIxhRp7Km7IdkugXb9t3EWjyejpTzTjX2Unef9rDL9rIPlZLlg
rjFb/H8u/uVTpf74kvTNV9oj026ZNsrjALH5LtQPZBe+d4stD9iHfHrjEWQHlvAuhYGV3TYhdm67
0ZYqD0bxUkdQqoBUhLFOkGeE5Fw6Xa2w0wNycPyXrG/sIC5RrN52UR50kx5tp8SxrxoQt3Nj+GZ8
9jt7MxQhwls0QC4CcktBiR/ZlmwD6v/WupNEEKbj3W0QoAvpnUxuq7LDv19TaQhAduMRm8bxC9hz
GSQqHe3IVdc0t40v2WsN8pqT40G9L1ba0UYxsYB3oPCfmFaCCav+VY+W9lVdeFn9fmGAHzfrIAji
GMgulkZuvDRe369j3tk3YUBbIGuT4oiEARgdwsnf1CZUEVIjLIO8BvlOpOTpSnXFPaC9AeRBXzeQ
9Eulbmz+uw85UpOmYDuJlfeyGF3Fxbey7H0ct6wzHTmHKp7uTG06kwxZlprjnRqjEyaNtSa+Lepw
+jH2v80DHwpY7qX9tYUswwrER/FjbIXedvSAsRGgMbyYqZ9seNMZL5XGvxWVhJp5Ah487Op+gO7Z
Wkk1STP/mQTwrbygoCcFs6amv0xSzpMgqzpPaisEtAA30cIhOyWNowX5JNIAMafsFIUSJO000ofp
+H5JQ1OmI4DiFNPRkkiglaqsstJQCJ4YEF6HFlhy9kMwaGhF1z5odloHVd3FX8dC3JiDWq/VIL4N
ndf/QsnU79hzvBeWW+Bh9qR9y5ieQfepi4/4l60v2WiZm8722KOZdq9JGO0mlT+iRlSjD2xNjLpx
6ucW0sWZI48GZaA++XwMx148HqnX61Cc70d/2hEkqJLQKR9aRPRmhJCCD4GS5e+2zgUDBYlSkzP5
yY+5hDqi9cjvv67ntNije1l/Bv8GylN0pq2XCMtg609gSQfmRgVpShugwMpxQVWm0NGqoUkhtJ02
i21K/auhfW1w7D4mnl/jlKxrEv+G0XruSlG4t1EUKSp3Ex/hAhAnJaqhATDZhSvLKePdJ2/sltft
mA+Xxdlhitg7qx8/uUHIPdlIp2jBBf4Kghj/0lW1Y616xAMOvhW+1qYZXscO55Y14Pdb1wID2eyC
mqtplSahhqfLWKyBJ4KowfJ8kmZeg8x6Qw+mnuz2yO1rmffFWihnGglzZOBWegeAYNrNzn88/Gj1
wrQMkC2iLF2xHbqKHjEyS9Rl0qVOxIfLEBmFkdpA9QGboaaQBt4nv3gwqnhNjk5ioDzIqpl1MG0x
2+YVrLHet5Bps+NVUReQmzAM+y7JpmbvJH1+KC1nvE0QgoRGXNq8Scg9Mi3Sfnmi2buVyb72rJAB
TSrctNmL3ADziM/Hm4Ul50mF7l7oiWCX/R4xIneeFALXduen48aEQt+qUJUKrqpUoKaWTYCglX+x
bGEAV6OO9uDaiEF/hdIDEDK+++HUBOaSrm6AN0fIZ/UxWa8SsYM+GuSNkc65ATMsb0UmmovpQqG+
MwsX4jugQNGTdjxWvn5PPVeZ6Aq8Jfmeu6o8QU2lRWig1KJsq9eA37GwLd9X8fO8X5sckdTE8MJk
U9o4aMrMBCHhcivklvBpgKDZ02pyTPdhmnbXDqQKG88TyYZ+UZX6WelJ+QglN/NMvTb0+0vZcPD+
YYwav9HFxgXiYpNW/rsNlav3YaV5828RVbXlpZ6sG/nTTxHk8d0mikWzWRYSYXdnQbb4QusgOAz6
jZGlCDKBUqVW/FdGlvzuRMrunAHi3V0I1nqyd67DAqM1zFMblfLZTONdP3rGWy4MKFmX7bgjtwwp
9NzAwb6dBvP435adTK1euQI0XLRsEYryaBEssNW4tUfVYLgpnKnfEgsZdVPE1j91Y9UlyjK9bcLN
MhoKBCX08neE18LzAE2hY5fhr6SuHSNaXrkeChHUaOoojsi4Bi5RdfUU2MNO0fRTFymD5JLVfTZ3
o1Hol6jWfs0rIeNxTaPyG/WiznGuQ6+/sGmanvuy628adMRoLDas+K7N/SuNSSAX79rRAmcA7ghG
jeYeG6x9CIKV50SbNGCKxi2NFYNpPLggDKR53OHt49gnAY3VU5Q8ucXvGt+8nUiBdedhOTyKosxA
y5UPJ1eROwE2bO1T066hpQO+qNkF1TSN5Tj31EvL3AQGMDG21B0MYLjLzL9SjyaV2KCvECAYTtSl
JZnH71mWPo2K9iQf2uxBU1Hbso7tHTYYA+Ru4vogUbt/JRckZeIrNCgOy4S+6PQdCgGAoFCLUMOL
pJsXiYpmOFiALq/AMOEjlV27q7TxgWaubVtbmZoTQ2Sr89c2n8K7Oq/CO1RL5vsE8kYrnXwaE2V2
Zc2vNEoNOY/H0o/cu9kpa/FwafEdmNfNfDAl6U4W7ZdJy71KdRsjBYWtn5XOGgVXwJD4kW6eHPzj
fOwFCpEArU39T29/mYz5hjMEwete36U8H/YuqoUeo9j5GadT8aPUfWQOWPVcgC7tbw5Zy579sapn
B7x4h3094tClVshxWHpg4JFZJS407Usjqi8s16xXs9tOYZG81o1srjKJgNNWZl6KeJcBOL5FMsp6
XSa9d7FbTxHJmqbqNL8ZpenjN5LEFcr7II/0qeEhAG/xMELlFwOterfSFWTe2RUHnsSS/posvmli
n5NV1S7MS6jhObYPWde82zidmT53BbaCSR/1PyvEqjTTtn93SGPVbEzfnB5BjRz4bJy0OY6H2H4f
jbpFsZ2aHkLsZp4+eXr7jJTHsElz7PZbhYVwFT6ia228Lhm/Uo/pYFOY+qwLjNEAvkONck+8j0YR
yuUbpwJiSk39mO97stzqPhhME1BYIxaAQvhB1ajkFmhV8AN5RN7eA1cUzgIDM/WvXDzReAhut7Vp
+dOJJuZqYk/FLZN8avJkPDJVVtH0Xnl11BV1IzfE7zQczsYErW2wcICfsanEmdzIY9KiatdzkMUe
AD7igecUDTKeozbXBoR5Wq0SQxd3xuDVV2BfNKBZkTp1RV3h+1krcdJ/ZlhR5t+DEBAc5rn9g3Ve
d6KXE28T/woZtF0f400ftGY0bMGk166XrZ6a4Iq8P5FJgKZvq3sWQNIIj3apK7+GeX0A8Y72y3CM
M4RLp7cOzAIBQ73/DbxZ2t7h+rBHeSlQm2oSc1C3mOrNYZJxdZtCu1xlYxlfclWVmiWARwtIAs29
D7vTOWW3LkRxLC1wKS4kM4CFQtdH4wzsqnp5pIEcX69NldvI8ZshlFy5Pl4aMKS98t+1MPhrZMoI
HLlgRfMb33rtwP+1TQ0ht+QE1tb3Oabb2K/GDzvK96Ipk3veWPGjWVgAxuc66KvaNHnMu6o944nz
RoNTHNcXUFRfSunmZ2vM8jWUcSGwqLo+xxtwRZfUhFqKR5gaGWWGEQbhTiXU427IODjfAYnL7+2R
Ndcc+NFVP/j6l7iV2rpqzPJA3QwZC6hjiufMUEcw4GxXMZhhvoRpI4Gt0L0Di730hKpTN8B2aMWz
rnuZiii+6Nrog0AXMAAIyfZrrfKiY6W6yq1TbnrUxBfEK6GJFrVIhgGFtQaVTXyk7oeboVYDWAzc
aAQqmNrvqOwAw1ZdffNdxNRVxDzVWwGkFfeu0i+rMyri3PWHB1ISKAFIhQhc5RH2oJQnD2gSVd+i
5n0N8tCgOAcuInAk44GkP/RIpm2mBjUgsmqMB5TSGw95529bRClv5FEkqQXEgS9XiE6BZ5el7rTC
02Y8kLNtoSa7G1tgrjCVZrRqTYQj241diakIalfbysF5M6GpdchAx7TqFTOMM4X1iboQqbGeHd69
dyM5JtsEpcpr2XTuvi4hGEZndRd/9b6rRLKmgzyNUpdO64uz3YvwhKBOuqKsVm/3oApOy2GbtJ4G
kHLBj51teScdqK05O5aFoOSSyLDSBLJT6qwdZbIbgQGaV1om/LkmIkVQJVxnMbY9Zg6gW1wM2Z2f
4Y0mJ3bfhCVMwBCcpOl9XUxD6kISwS5EEPU5TwMWF9061fpsO/fraFKc5Yl1mPtGiJdvU5VXWqIq
3OxulBznQzUZeLt5/RwltiCpk8c8ORWRyM7Y7bw3k5cC7PNnP67q4VS0J7LTjD70LdCo6kQ1Y12Z
AptPQwjBYIZaSivUzBXZHDWA//4qKAGK2iw0IHSFMDrSqEDaxUnxODmj8yQ7wGTG5MY7zXkii6VN
B9BH8LtOmQZLb1ZpzdmJPEpkJNZtByW0Vmtd7KhQKtk14JCiqTGkZI8oxvJX1EVJrHH9P+7ErIbf
JYC4tMjC+zx3UCk9NcWpV00iLfT5GBfADE3Fia5ouLK5BDmxJcHb+DEnIncaJ896qsHn8+cljWvt
0GwgpZXs7DzK1qQbfihUdViN78nabHVx4QDgX5w8z9a5blon6Va/ujDjZ0Pw9yZKbX4mm+uBX8+x
8xMNTsqDg60BcbQPFxqRqKADpTN41QrtfklTTQOLT/rYvHUfleU20gxkojQVNVoPikrlRT1ypYlT
3M8T54zWP2sty/97LbJ/3HFZy/znjrSyWZbWCbXYeHziYdRkqLwlBK/30cVxx3xOezxWllFsJz53
aRQJ8Tg324vtaOIizS484NV27M0UiB2yzZceACqH1DCOZKOmdGvUM6sGZQYgKX2Ne5wgwNvVsfFZ
A/zeS7XXum+q76XlvXr4InwHFfR8ATzpfPGvIT2U7AVSGUc1XKqZ/8cS/999IAGGKi/wd28c7jjn
Rrr2iogeijiPty10amd2CItB2aWudefa409+Mb2nZDKt179NCj2zndkh/nOSTGvrNbLs5CxKFF/y
QpN31PQJy6GVGSyWCYG4OzdRG/IsVqKvumKzLGtjZyQ4o7rCGD9NzXmghU0VzksOBrg6dKmCEuoO
KqZ314SxsctCEMGSzUaGctX2rAQ1aFlvBtTUH0LW5S+jNu3KxgSoVdl1K/MXu4iqdzsDY9uhAb7u
xalwhvywL/7/tlcN6tcoezUnvlT2CpSX0GQe52RZA9raM/fbpyV/lg9msxscTwZL/kwghYkobOJt
l6QYt6O3PLLliUyzPQ6qEBVllHObtDA7x1b9tNya44Gza5p4DJZl2nD4vDQNjEY+L00L6aByvuOu
GUwGKgQ7d0JgMAck5ZrXrhtobVegDkCG13kET6jxgLqW50LZyK81QygoAkGyoxXmubTAxyoC7D4o
aFKLfjTYns4rLaZlzSbJdnjfsBMNAgf2kDo5Pw8o41/LgmHHrTYy884DL756tJGaVSYPPNP7Kh9B
1aW6tF1xygi5NhFmJ7K5HggOAAq/0eDsptZ1kQrfLrbS/L0sq43e52Vpkq8hmJWKLsM5CtsgWnYA
ozUNUtN/LBt2OCqMNXZVstecQ91jZ0f7GS8CDoK6tJ+hrusNAoVISE0sXRpFLRt+L9nZi3DqGVBB
vAvl9M3vcSSKmD6cQSiOPR71mTLSFTVJWEIiNmt3NDUEyzpeG2oK9ZcVwgoE/9bQPvxhn1f+dJMx
95MV80qxRYhjOEgWPZr2oH9lEGL1Qyf5UfB0CFqZelcI/vZn0HignHCs/G9GcyEHB6rEQcXAKd/I
ur6U0BFZ04C7s6Ax9R3Kzs3abURy8eOouMYTsAdIbSU/XPNpqI3pm4Wi9DV0bEu1bQ53SBEj9tBB
uBPv3PFrodvdKsms6K4sXftKAzgCoLZCDWgosZsHag38y6GJOgrZHJkRg1rRURAo2YkHsoneAcpu
HMaHBpHBrRVp4hbmsXkzWv2+U5vaFKkk6olei7caGPOhCAyRx4gx84ioyoGKWpZCF+pC3dk5gvx8
HiR/slMzIrV0dBJ3/6ddLQt2aO1YGf3+k7+y0w2ySYtPKMiZB/+Yjupd5I91MX+8pd6G3ACJLE9T
ne+WZU1g6i+pJ4JG6+TFdZHQkcDk34YQr2sUmiUPXeYD9ltBsUG2fhkYtlG/sq5FGZ9o86+eBxSA
EOUPPwN5Uuny39wu11lWMOiHPiAZlOKUkndB7Vvhb6TOAOPOs+8y+YkavebZ5nzcxHg0nhu9rE4G
sqvbybOxqQT5wCoqvP6HZUaBNuXFb3Bwv3BntF99TSK4j8j71dV0/VDZKN1nOJPdp6U3BKLXja+j
PRyEa+S/dTYd+eg3XwHahEAX2A8Z71axGKZH3SzTXWg32bFhXXazvThaG/4gvgJJvxvrLP+lj/EX
nqfjyyDkiNOnUZ59g9tn/LKrDRtY9co4woHK1eqnQ8K8+NS0iRPUUcpBge10p8Qzpse+Mx7B0+F8
hUYz1JxCuz9DP6x+AE3bd7Ljj0FUZmjEpQRt3X3bxQBSJ95a81FcBwLM6KoVZXJpjBiHfcsavrfO
xk2T8gfANZDJUg5m54471FDGm9TMyjsUv5R3VYgCLwQcasTrneLOgPaat6oLfOIpv5EJNVwaMtPC
t+KV1Kp9pPXpVijQB/6rtXvTy5MVwsbiaKn33jwQolpgCqs76sVuWF0KM74sk/IKb/0xTkDi+bFQ
iYTxGj+mdKsRRAQb6veFyYfFRrcqvPYHkb1Nio+zzvh46otV6SjKt5n4bW7Jh5pP/VpG06kD1pUb
3hESNivHBYtHlVvXGbMwQRoDwYF0SxiHqDS7Cwo0XmiQTG5sXExrePfvgHBHmixyTlrrOQHRUdhV
+6VKbOPBRNDs/Bf70JSf7anZf3Hy7t2/AQAoIPYKfG+++GFqPsgI1VRzJKsMh+6d3xVJkDNzwQ1K
mAQqVSvAv9C3PbgnQvsO/zDV8wBJpn2PEu5tP1rGlwkP3oiz+DteYaBP6TLtPHJnukGl2gNRBgqS
1UzkdKtnqWZ2FQJDkVvPM8nBCVEERjMtICpuPIXoOPtnJt1TZ4Ao0kwn9vQvHcBH5ICdHmovok0R
tfYDEOLpFv8Z/llkCfiGIV69tzqrRl4gtqAWznXoUVugV7XM7Aeki7ZjzaYINYnxBhxdxo/URmUh
ELPpizPpYu2bwrxVItJ2wzT0R7fpxzPy7BAfZ1Xz0OAxj/K8oXzDNuIpzADuXcUPE2/BGFazWqmK
2G+dppfB3z7bxK3/+GxRrX/6bImmQWRX1X5R6VYsuyLorLg/zsVZqgvUfH+ksq/O1B5QR9IdapFl
YoXIKijkKFzntazZWAkYA2aji7TtxpOxtkIau8SptWdbCTGzIJYh/tXJ2FUJ3tGRc56ysryTqim5
zrZdBLFzVsudJVl51AAJuQiXywtdUcPTCgxloeuul4GmCb8nnR6uipbJrZVG1sFjdfzgjaqkbQTV
L5AnZ5R41q/kMdqWifym9YzqHxFAjz06SjxKrCWt/ynGP1+S0wQnSgGwNHG2QsY49oONbkRw12Ee
alDCfNMoWHFndf3K6IEMHAALenIdQKTtbPpCbqEOmlOnrhGBG3DWSJK+v/bKbYhQy6em/81N4pe/
KwFFhIwV489tUexQyo28Hn55W9OJp12huiKvgxS6Ia9Z2ejHzHQhO65N+pvuyF9j6nt3SDTLG9i0
UbGu/C3Dd4OOM2Su1LIFL3fkP6bsfdkKceP9VKCyHdTaYNjdesCMBcguJgc62lK31tP0MB981Sgq
NpJPXcQyk0Pa6MhEN6gu9Qi4GiXOsDKMwdn4pa+fHUK74iUxuFuUZ9y93xHqNKeoR5wmn8z+jCIT
0EsUIKo+Q6AzNLdRjaLyikmxpXFqNJZ8S93a3MnS5KhhQZOU0XCpuqZCKX/ugEHGc+WKjEnVvftY
LudB3XXI/ipvGuAskuC/hNJCViN5C611fuEiBJgQ+lJBX0GiUWRA8yN1j0vsvPotGN/6lYfQpFyR
sVUjdOUBKXOoGnZb7LVhgvpjHuXW2qgBNJTYGTh4jZ86+qHhJxRf+szGb44uY++xtvIUCmeIm1OD
HFUuENL9p9+DX6gErz9ZPs2k/pQlBjTLA1prmQMhIYTiVWMWzNrYMnfzK+jB+q0OLvBrbYTWRefP
hoJ7UUNmuppiYQVuOpabBDsVhjNI6J2nqAjIJSPb6Jct9Htie7Os0Cb6M04nMWj6PF6uNKiSHX3V
0FWUOX0JJgUXRpzn/A1Z+6m1Ad9VXg6zoXTejXvyIZPtVP/MpiWXPvlQt6oKxw6WEddg1dpwISjZ
CiSMRJm8NymikS3q5dHPpdeAcCj6NdtyGiF3p2XVdii03xSB/BSkzJIEKj8xyNN7oNnPODt+jmb+
EdykyZ4TPWuJ9gIUtHUxNfADCiseoRQ/ppdmzEtwL3HtHkVoZtD0sYkYTx6twBhZ/pRRtgFIsQT2
I4FwjRPGv3jafK8it//Sjsjba26sP2DD44F7stPx/1hlB7y0BrDgtKjmZ9nGxcsVvwenxL9FKsbz
fKlZXDsaLfZUZdagkkiNUOMKILNG0OJJnAb7xETRHugw3gC8vIdYZ/voTbV/RrFgG5Bd4yBfrNq4
uWWhNd35jsT+RU2IwRWAjFHlnGzUFz95FeR0hV4+R9XUriQY+c7UjEIrzrpqFht1ueBd4OTmtpoA
CBdld+ncqHr2gYJ96Lww0M02Bq5l3bpl/uzIvnpG5BXwxpo/kGNU5VegpLwb9dq0/SnLZpwXgV4d
aFXzGL9DtWalDrR4EIkDdfPJmdbAAtk76vZejfQgAtxb6o5J2OE01nprS90UXKHJAdkNK6BRZOK1
Y1OB3oJGPXdILn2PHSqN6tJsbwgZ3NMgtq7JqnZGfV9omjWBbTlrUZDRHntsDhBKKrLwgu9WeKEr
TdRfwJct9qZROdPKbMIBAfgRTPBGgYNhAWVmdUVNBFWAY5igWbp/81um0QxyoWlL9/99qeWWfyz1
xydY7vGHHw2wTvDDYDyGMUSWNaiEVCu6XBoQfzjryqrlCkIJ+WkZYAko6Zuq+GcK9ZdhT624dOnq
zxvkPTKSBgPL4f++TNx8fDC6C32S2bjclYxu29jVyrWN+4knOLupD7FMoe7sQpc0pa7TVyhvNgfN
Sqq7HtKQDlJB51IxdlJTjw5QIFpYB6NpvdsEXaXZVoOo0WVUvwBgo3m3bXmGWomPuTSjSoGWk8y8
LPZJR+32lONJRHddBkbQ6whXZNfSi7Ez5/HgbrI68YP5jh8LI0qFwm1weAu6d85LnJIbI13PS9Hk
mL/lTMS3eamcG/UmTrRmdvE1/2qBhGgHhgl+dLnOj/MVy4f3q7/YyEV6Nsvxw8Y8asqPq8XmqmWW
VWlgsTVgCQ1SG7940Lv5D/XAwE0Vg0mduqGT+Q/chIS2yMxbrDwayKvt494ZAhpsbM9/qBBvKRqh
X+ZJgkMpEEU8iHwBIlryrrx5lnUFTUrzs56cq+bq9U+bs2vMcFHC4oVpd2ZJDm4mXw8PrJXPBEgn
GHqksOiIBMz2xUQeZC+a6YYq85U+4kCQO+kdCPTs+zRJ2RUPpA31qNEmsDnnVv9zGKMMmb4eiLza
b7rAc0OwGLAiOrW5rc7zjfvWf1xlqfFuo6sht923OB7zlV4V7G0ejXa64T9mnGf3juNk9+C9ds9d
P53IBHGI7L4HEP8W4lkG1TwZBeQ2DPcxyJjuyIuavu32mVWJC/Vkkmb3bVm9VqwEk4ZamUyyA2eF
q5nRYbENldUGXqpnO3KhgZwXKLqoUMRDNlozbiAnGvV2tl7uGjFu7TIJBuplvcjKzQMzJPBahocP
nFaTd7Ld/p6m0Z8EXEQDpdL60+pGAxredP4Iy5+Q4UQpwP51XUxl2N5Jn8Xn5ZNxFiYrAzSJqEnF
Pxj5dm4brjTNZZ/+qsYMASM1QVdFLtT4EzhAOqMz5r+KFmWDD9G9ouDBclu9L7291gC3vvylQzto
R90TX5Z/OARIwfvP88Py6WTp+LcqeqO15v9DX9Yq6jre5u5U20cwbAhVTCMOzIRIglYV8lva9U9m
XmRPKSQbj0zXgdBVdujZWVrVXyfswwH+9LptDyqjg1fU9jMH0R056a5pBL2rt5fEcrS15lTFikOA
73GQxovox/IiVM+t/WkLrAiYkxvfeGxd2d55IL3qvcx4JNNggNorKqLkRDY5RPW+SCo9mCc4ZvQo
jW3IuQEmTkD0sK8e0gMtDk7c7IioiLGiLk3w8WXRXEPek2mYEErM5dDuaHFUmxTn1Cp/0SB9XC0x
TkjhRrf57r0lgDZL3A0t5rFMXHW7vpI/NX6afqsyZpypJ7E93IXMHEAngj9o0mR0D6TKmgbJVEEi
c2W3oTxSN5tqa88SBOvIhT6CQGWcPj2SQWPQePGbSd/TBwCth36MuMRREmcqkbzqiTXcTzbjd/Uk
fobC979A2n3cQBFw3EcS3Zhra5BuAaOZ+v65bgso8KGC+gt4Cm1Q4hb9qR4SQNfM+9k8QIGPNw34
QhCjCd5P3KBQ2884vQWbnyH1cRrKevUJqGelHcTEDetBw8euo/CV8teRXn7nHa+eaiTZ9ryDxA+i
tP6TcqDUNvaA3+3uq4Yg5/fUAQAyE/bvzMpvfT6abzztR+iBmuW9ayXDzmtMeQwbN0OcItPBGmjL
p2yEMm4Jgc4fajo0Su3fCaazAsFgfEXDbWjl+GrkOkoSVB154mlgtjAyFJ/lsXyBRgW4nGFf3ISq
Ps99hjQiAmqzm4vae3JDdcT7aqNyW1ZL0h8hER1A8ngEzTfKO7RVMf4sWAx0qW++Qna4ASjRKPad
7LOXZrDPrDbi76jnyYMa8OgrZ6Z+qYwRqTVrTL5/zBQ5xChoZuVGgG1blr7W0hQJoqjMX+iqjNxs
vhJ/sf3NL9INHc/NOv+UZ9NcazyBGWz/Kas359ic8VFzJvdA6bV5lCFLtnG0BmUmHzk6cqZV8qbb
k12m+aqckNi91kNd71zQD7yaRT3zWbm5Z2wyy2sPQCFBnDevZj4r7KVhT3sQaJu+9qL8PcTJUKUG
mIIzVuBRNmthbhR2PohdHzzYTZz9l74IUr4KEx6e/AyyI4DKZNW1mBwkXAyxpgHkCatrAg1Ba51O
cg0MVXha3MLRibdjlLNA2qjmFABqnHgxDE+xMMsNWMrkdu5OIGKz3RYfyWTDExfGBALX/EyD1AgG
wjAUdd1Tj1aTmfG+mm2I99UiS4u2Ay97RLw8M1sRZxbkh87CM9or9To97/apX7QBdalBkBfEnFF3
tRsfgE3l0YFALLCVlAjZ/rLG7KEm/HuNv93FaqD9Wg/gnoxHu37UMuNE3Awh1En3GWqt/oewL2uS
E9fW/Ss79vMhjgAB4sY99yGTnIfKmlwuvxBlu42YxDz++vtpZfXOst2n2+Eg0ARZZALSWt+wGvVN
AY++WMeih7sKpt2PfJgPDOavKzwcvYNsIrlsxcyPTVrYnxjk0q+ydZ0q9lChLIMIqLnP1C3MKn40
WbQRVtGDVO9+pTumaWBcUSFmcd8y1h7aqBcBi9L4a5efisr2v/QpZFfndo73LM/Uox5I7XVawEPH
AlzIjlN3l2Y4jttY7vcIAR8p2+ErsqXDsue+vKTCNGHmOkNl1C5mmCin730dOLJ0sGNUgYnkaQ+F
Xmh/cBaMtGdjqTqoTiBcgL1rq96z5ZvTjnBxF6AJ6Q1EMbto0wDQu3FajqRshydRi2kE9P29eePj
OXNfeUita72065ch2yloXARd6bvMZJ/cw1lOe3BdHJ85XzJo7cJMcfhizSNbdmkywEsvGrat2xtb
hkzn3QBK+BJ5ufm1GscjaWj7CuqdcTF8YVUGO0jwL4whyZ8UqPegbmMvqkvYhuKR/GQk3XvdrZX2
FGPNalA1lIE4HpSgaOR7+sihm2VHt6rfrp9Y/yluCbEv6pHLbgvHguTZz8tjURj+UwLBpz2eKPou
HKYvuj5jeFtYUvK960Eq5ef6GYmMRWE21RaPv/GECf94mh13gD80LzapVcaLio3JtKAWT8bzoq0c
uSmGCb5mBnwQhK+DWrp4q/PSbNoC21bf93rTQFgf2QvUUZEabnVF4zXrKrT6JaHcCO+GNfC9x91w
R/i2W73hJfOGATu8yEim9eZs5dv1PXJrzUp1eHpEhmndqdQxVrHei9zpfY/q/qoVwFLI5wAruUnw
69kLpA7WzeyVz3WtvtuIMn6Pq2aNQNzwxczDNAB+ajp3QiCyZxbNWmWeu7TUbCxCkZtHQYoIFCim
soOIHOY50Z6qaOPpKDLtIU0BL9dyhhEtwKvrxOvAVtaEOwJxUR0EAOB/Y7snBHKKs68fv6qzXq25
ZduEO3gkl8aY7jgz8JaoUnig903EYaZjJt9D3BXCcp230pdJYDpOfvZTJg5yLprV2KkOXG/wxeHm
+Z03+Y+p6NsnIeN2E4ZFvotyB05p+mDUY7bhuB43zhtC+0kQerMKPCamLSQECaNOG1+pahV6jrWi
4gDy3oP73oHbzsbNc8DFp/ZxViGo/Wmc75DTAMEQDg/3cAZ5r6u8kxEmOyXd1V95VoQ2XrW6cdap
eE9JFgCyOBiPiK7hKgxxVAbE/U+Rutoi12vhFQaXJwgp1vcSwZhrHRWpAej2dmsvDQ8CCD3vrWfQ
wPs9t0qtTS0QPqxhDXEruhBQxHW1T4kdASEtXH+ZaoVxWLV+cps6evScNjv2UxouSdHb/bO+K+zs
WNjangkR+BW0fDOYEpYL3LbmV+htdMD8W9nF69wJWi/4IjIn7h+ZqCE4pB+1k3zv20soGttWJx+k
CfHqLkQiC2vD+QtncOYZu+kFdjHv9QTEgEbmtZ76zyoJV5Exg2PQtumWD7FcI8mBvJ6Y8VxErhzq
NiCFpFm2NdO8/Uw9ZBvzTQJzvgUmW/nyKj3fGmzc/GWZhOeRLwNLxhH+1nIhDSfdBu5ndEm7+mOR
WhHxH3Z0/at4+K31l7G3zr0+VCWMbjNH836YkHSFFXp1GBEBWKvatB8VIGGwOVbz9yK8K8ch/MOe
qx+2I8Rzl5lYWUZjeAQKvL6O6fLSWKkJTCW639jE601iyAKxJz0H6vSEZ9CbzJ/tJWNvN870jVdd
Qkxil1cw9+FgXg9u3sCgeOremdi3fvBkwNy8z585axh+p0MNbZrcXmcOwMVxWpUnkODVCrCn6lPt
md+I2mi43/DYSr/fxrB4loEROq+diy+TWGtAGFfrW9FvxmoNe2S5zrwoOjoTqFfO+ELo96LoYU0n
w+ksuBiOVoeFTFyF5luTXjvY4yMbzQWyBRUQIrglCswwERbm5ZFsaHJddHSRWu0e3E5qxVrReqbW
vxqbuhKZi1xBQNVQZ0wTMK+EAa1VjeJQdQxTTV0/1C4EA6b2tepEYf/oUk88wI82gMJtlN/LSBMY
uvgIpW6Hf1PgEAeQ1eB3RgnXv8nw0ucoK+oVnKTmEyhf2d4tU3czl4V9sZPSWfaOK197Sz3kWcF/
gNgPfKPffZfVn8M92QG+0acWhPzxroA+go9QjJ8fnbYPgR4YP9HtT/UWV+7GK+ur+5A/WfkF3O6D
UjBGuhkS5aVsN04nIYY7w5Do1mCWHIYfxgUKNlCiKoHaR3BlUTnxcKBiOxXvRaIe4u3wsXX6uUit
CQM97H8dW8zA6FQqDyBte3QaT+18PcECGhGObKLK5YnKtNFdwmJWuyT14qOJySfpGSTd8EfoFPLi
DiN/YHN6JjEEWw32BrDRZE29pnz+Ayy96IK57bUXVVuTjV5jhl565vqfY0G/4tpLNaW77kRjrxCh
BEB4rNlLbEMbDvd1eK9kAz1uPPxP4MggBxX2EkGXwT7NgIrDHLGxH9qiaZeFqcbPiW+/9b6X/mFV
LYbrPJSTVVgqsfS768NodYwcBkO2CPd01EAbZZiQJunN+BSaxltmhPw6oexTMz8WiXyjaRotEARY
rgth9+meJms+x28QZPhyRWpepOvVjWF2Mmq8KrTyF9W3Ywdqh67ng1jeulI9bDozvBj8agHB3nkD
0kz+4sFeXJlCfs1D0KA9aLGdk0wOZwECNaAGrfyawBrAYdDesLw43Pw8MjXj+aJy+0VhZnOCBJM6
YdarTliBJFtnND4JO44PdhKvIyuvHrMs6S9u6gHQMsAZdETMZVmHjG2p1eid9hhF4su1lU3u9wbk
jwMmR1i1uNyA5SUiZNSXNhCuWzuDMu6oFFe+G/z7X//9//7vt/H/RH8UF8BIo0L9S3X5pYhV2/zP
v13273+V1+rd9//5N/eFLRyHQ8PC8aE+4roC7d/eHpAER2/zv2QLvTG4EVmPvCmax9YKYECQf09U
GIGbFlUI3fp8a/taVQFM+oc2nUDD7TrvO1LnSJ+rb70RXNex0SDTAxgrm5RmWIPj9FtAzZzs7M4y
3wjSlYNdKl/IqYo3V5fBNG5/KoNHfJYAwtymGUnqJAGyMTkMQqBMRJsoDT/WUecqzwKG3/ge9sRA
z+qNo/LxZOvNmLT1usBDD4pMf7ZmdfcZYvr51ukZZuxO7tbAI4n+2oXGUmc6ANwU2OLvLz23fr/0
rstd/LIcBzlol/986SGPVxhD47mP7RBPWySBI6CmzHmVc6N6rVMkTfR0YpjBg64Ery/UwwXnCVRt
BpjYX/eqVWjscyk+HGdgWmbDHjuYFRt7x2nkaxbXVpDY6XDyYIl5qEroZEzITX2aIfqMy+t+112h
Pw2Mt+7KQjiNRNl0pNvMrKe7Tib2nnMLz1xQGrx/+F369q8XhzNEfXF1OKAhruM6P1+cQaSVAHRe
PV4n6W7pgJdf8E/IUBT3cJTt70HVf6bHYdwoY02PPCrqXoBrqfuphFexJf03xIC7levkCqppeDBJ
1cCswXHaz1ZXnzw9R8RL8UElrHhxjBKWQeWArlPBD413kUZRXwC0XyNh7zwWWk2/grYt5A7S8EB1
kAxLN20J/UdqpQF1PK4drcuPqBlca+uYg7dn50sEp5Ld7Cmo9ocKlMcxhGaGPaT1sgnBIpTtI7zr
ncdf+nLz0rjWTsC545epPTnMWZ3j73Uj2c/NfQR20oCgB6a/7Gjy+I968POnVm8QKSxrJ4EAGAp5
7PaLHtTDfe6X6snqzHptmHOxolYaPQzZdXQB8d67a7yRlxZbWbxNP4jL962nn8pmu6aGymLyH34R
3P/pF+EwJkz8d+CY7YGG7Nn6dvrwpMKTxZogJRM9OnhFwT6OjefBhLwy8Qzj6pPpN9YbTcK40Y/H
yAnHsyF9TNGMGlaQSXoiV9mrSyyZx17tYWm39suyXLTa7S0GCBDeO1UCc5m0OtAgaqDi/1p3PVjE
0nDTNAIom8kW2dYbZvPAuDAPtMfH1K4WKp6AtkKiiG25SHa35t/6XCt43W3+4dnz82NfX0wIQLmc
ucK3IETnuz9fzFTWzMxyFj54YzMhFZv7CxP8hYsVGz5A37m56jNfvRbMWdFcl3rUtQRLb+ADFG4h
PIs0YinAPe7LbYM8g37O1vrp+mEDktGp7+Dlhg5UDY8PBJ1MiXBaNKtlnZqQd7VYfm/6abygYAs1
sNx4b0B2JkaUALLuBu/UMilLaNmEfnbvAufy91fF9377idncY45nWpDcZdz+5apgRsUj1WbuA4Nd
7snWhhmQNkkBYdMut6SJGrlJEozlfezOWfBBermAoQHJJVMd9PNAjBWQkidp5dCbgIMb3TZo6sSA
FnfeLAkKWDiQ54AVcnRwNGIwiTZeV3ovt16NC3Sax2DdOOjQUBkmEMWIjWhLxU7XDQIMJTnZv9VR
v1KHmq6ddT+qmxqBqTY3Xmst773wopk/4jEMXxErSqDU5VY7aokreGyFNWy4qPVDb583DQxyuX+U
naV/AtMX/JzKdWI181Y5AKroelaMLp4RCCpCNQUrfgj2C4DxHbHoG398tDSBpAQRGalbrJR0SbcN
ExyUshZhOViEyUhB3nkwwx3Mvctz18aQmZ/b8CBy73OmuvaBqgq8uoIMOYw1FanBzEChYubb3/9G
LOe3W8eH34ZvwlzAdzhW4br9w3No8hled5NdPUhp6qizekmaOv6qBoAOw9FlF2R+YsDzAACGvp78
WkIRA/n98LVEWmkN31SoZHhu/PTzSL/uGRYw09HPjRgcV2ixuENSIyYFuVoqinheybKbH3vpQVUk
UutYO+KVhVGcIBMLqKkuYoXRboWnVW50Ma8hPloJZ9xSEUSj90NSEVbIqxhQs5Ww8SsnRlAcWs0q
nt32A/UabHHMjOr6ShxCoGreZRxUtyv12skhJAEnMPNKvYbbXHEX2s4H6nUZjc2qG/Luego6zwRi
DnDfVuq9WpbX3buWH92lPfivI0g8r3ZnwSmcsfwIhIL3ZEbVLpSl+QpVkXaNZ2q4oW5JAv3zErmu
oRXAO/VYQVC9y9u322HtaEYEWA+nw5ZdESEUXx6bjs/AjcK6cap6+QTNdQ58DqJ1tdfspgYZAdAK
vCXUL+LvmD6pRT5X4XPaz1YQGmN2p4AN3XZFb+3oSE6LDODtSAPLowe/HEFOhk9WH45LC6ZxCE6D
myz0huqdup1WjWN3S9Od3+uogfqNGGUzZl+PIeINTKyaOxEhgqJ4l3+BAPyenCHbpD044+y/AsTo
LhNvkuBPwD7Va2tzO8YI2JuWbeMTiPyLiJt9E6pnkBnSO4bH4f2EhRE8L2Bw7RT9E/JcEezsouKp
yOcGNgFlv6GiW2XdrukBHKciTJjtS9OwddLZxT0i7GZQsMx7sKoiu2OVtzGn0XugqjEO2yC0wnlt
6zqLVw2cO67dwyFTZ6tUOwrWwjQI6oaZu6OAkaQMma5rRw/Y6J6BEI7JkoB026uhzPu4dhDUK5qd
HdbVj95K3+xkFuC8NuESy3R+qUy72fCsMYAHmiHXABbnuoy74uGvjpOluzEvqw0CFv2q6mGJp+Ly
odRsFMAg4ZKsiSjKKGDa2GQKtxTqaOPAOID6ujOeUiKukJMfp8+iKIJ5KqbnJAVBQ1SuiVwLVuyY
3XIQNAq8SLW4oZOVAYhF436o2xoZuKEf0lOTFNWyMZl/D31SubFFGcNxppiOqYXoPCCJ3qNrIVHg
FlJ8BadqleUR/xF1/qFvkZGh4YAD+Pc8kvEGgKZ5/fdPQvvXtyVmDZzZDC8G1zRNPFN+fhAiDFW1
1mj0MIw3EWIdQqSXiDIAuamLLztzC6kwRESorod3lGz7p7l1KxjeQCXf9UrzPukV5gNDlX8r8KsE
uIy/3HoAwx8hUR3GW09LrJDOSgeRVax/en9FoiqdNrClPVg4whh3GTVNfp1H2EAfLzs+pedOttaF
GhgyIJe/vwzmr/NSfRkchnmD/ue6tML+8D7wxhE4b8G68zum3fM1kxS3PIPzMUS8EAawrRl6mbeb
PovsgI929evDgEaUGUD+dPfLEnp2yJQly7//yNz8ZZ7jmcIUAt+cwMOD/7byBNPUhNFgnJyvE/o5
9GoooUfxF8SEMx2Uh9pOuqn8kG3+rKZ3fG0CSvV7dQTdxms1s7v4C6w2br2bpPUCJ64UNJpWFObM
PT9+thxouRTZapINhIOR8ghUasoHI6re92CEwIOhA81DRSYPJr1366dgkfcPy3FaP9wiIQ7e6VgG
cywsbNfnDOWff87DNI9xPTvpdgpB9XKWNkxZ+hlW2x4mmgggeQ/DPMBQVxNOhi69APRWf7r1CA0+
Iz9kjYshCuHaaIHKEI8jrJwkBKYzvHPAAi3ko8Pyaj/oVirSJkIieHLH6Cg5g1fVf8arwUnBEzbN
r2w4/P1vwNLRhZ//XNy8woNKCLc8D5ysn/9cUC3yCZmsaHvlcNnl8hqRQWzfP1mRQuISGiq13qRz
1EAHHPX9pMBpg0D1InWh4hh1PYT5mIewdWTZmwlazhLrBVB3P5Rv7cQJE/U//JrxJdk6GvDhj3GY
hb/E920LER4uxK9RLAZX38KLZbPJupTvO9iFL4EUAoJtcKLPce5DAg/Ac+HVYEryMV5QPRBA3hpa
jEhAx0p+9lmRwezIcc8mcg7POfKi1E0VjjpEEmEXKhYOZKmbZGAQdYwxWx7bco+M2VeArZIfeXnG
pBFvJBXZyEiF4lVLDS8RGeweeJi165xV1bHNem+PJPKwaWs+X8DNjgI8yq0XfZy+DeMf8/x+HMuA
0qOLZGJZns1I4gUCBcn+DKD9SURpsbdwd5s6PNRBgSrqTrPxXEN340y9qJqKU1fNW7Cf36ieqqiR
NlNfhYGJaf/yegaqbPQhG3PsF51S0YbqPpxMeO2mm5Lm8KEu71V+bFkVOEMFv0kaQqdyQP7aWFmd
f6yjPoZTF9oDrUfA4vdPDStqrAkF8zeYaVW7iEEFMQNzDC6OJviZIlMB2H6Wc0xKC+H61Awhk9cZ
/YHKhSiiZRuZMWa30yoLGxeuanM6LSGgjDeK2+aPXie908zDO5dLlHRVl4XmommZA68QJ0f+JuIH
g+c/bj0Gh/2ACLaHRztPMV/ESCTivF3rwWaZjuHrA0E4HaIFnXOiHjyr0i1i4whA60aqs1O+QuhK
Xq5nyv1pnU/THFyPEWPGm8zJnVdv4iaFUpweZzVCrUzf9FbXIxRhdW/D3/J2UM+c4wBEz3JDR+Vz
GZ7jLNoLhznFEnRAOFKU4bTN2PU8bRTyI6xbXqg7HWdEWn/RQkhzT8VQCq5ZO8B16o9AmyqCnkbm
WkcaFYnI2NYlvhP6VFRnW6AjINd9pv4xjyHOEZoyoGszjeEXu2jio4A2HJ4x/dqSnD9A6JE/2DOk
sOAn4a9a15FqORrpAo4t+T11AcbABoUNbqSxZRUrK+Htxu+hJtxkb9mQZetx5vGOG1b5KZtDTEC8
7A0IyCZw28I6wHV0fDD6/qtZhekbcFGYSqjWPIvIT+8wO3UX1KDc8UdfecZ9HBbpcW7aLKATIDJ+
EBrOWPTTGVJ9kLEf8VXQSbLwqSh9G+qrY7bJysHfNNwoP8N6ezmxOlxbWQNqqY80jtEehqRC7qFD
MHCJp0uyM1OPgWONS4bII1uUY8yqZYiHWGhG6p5aTTfuAxcr/w0VpeEDzwTj1euhavyGK8RozsLv
2CMMMeJ1aCGQR8VK1ewOlMbttW87gp8Nq4BiHTb2NzqaV3rGBia7zhKrcPPRMkb+kNsHarvWKDAh
ciDerh9VGK3aY80CqxX9ye0M6yuIiIA21OCliXjs+2fWMdEEyboNfY6uYPxoc/X+mQdX3AFOrK6f
Wf8c1tA2KFZ01swBgn32PGTS9Qn0hj434s3D9XP93WemQWNj/PaZo7SGYD/ybnetGteDkTqbrvZ3
JXJz4KB1JYAdRo+pBe1OWVcDtoqcSBl7ztanFmEUYCuqDLZu154tSB2JIyK4tmlciD7GAET1OozF
S2pLGElTHYO8qDzS7rW27C22ANQuVEYayBgvADt9TJoKfI4aKm+YgmSP4F1mj1UOR8rBv6cOAA3Y
KwYq1YqKJUutBwymjjQEDmAiGOSg1lTXCCSLu3gJK9RpV/TZ8n0YjtvIFricroLuttVnjyxy2rvJ
dDe3Hnk1dfgzu2JLx+rm1j/hiqh+WZXlgfrR0DoaYcfGxmZHdWpkw3Hiyetczd1O2FUWILKbbHg7
OnuWqvwUjTVm6mMQqnIn0gL2Vkzli0yW0x9yXmfKa35M2fwNK2jrkyiQXEjqUAETDuG7ueFYWFpt
dD+G0JFRvZV/sUyBXDEGATCLlU5rvSWODSH+ds4f6MzjVDj7JBndHaQBN6VwIS9kzd6hTeQf9mBV
SJMaELd0hXOK8dZY8zIywaaDZfaUVv6ShcA8GM2q4hDmyICyeBMRO0NCW6c/EbURIy5yAqCAjK3i
u9FF3yo4u352R5Yu+TCFjw30KQPYMDDQPub3c4PFX+5/OW/cReIefAjQ5qQcPgElDIKzCUTBT+eD
RTf4fEVTrv2phII51M/XNTRAgjCDhY7qTUy4p958AzFvEfZW8+o3oNpLqMZtGWIZn3zu7qtcH7X2
zaWYYXRkj715p+IUuRwaiVhkKKvpMfTNcu/BTHpFA3K1ma1EfAG1JINBztDsANMXT7PvXqh9dhPE
dM1qOMsS4XmwG+F3rs+U+xGEvrj3hNuu3Y1MpuvKqsMvYb2+DrRFv7K6udibDBEumPx9vn4QoGYX
hsKFS7EgOFnI3ywLfUAAl/ZF3KlPs5DT1gIVfJ23XfealtOCOhg2+Hnw7ssPEF+qHnwB8yk6VeOA
vN1g1nCJgIE4ulDADKjBcJq1j6fmSydsvhGQKt3IdDReCo5vXp8TEndVMEuRIYULxA88kqvr5Spg
rL4A3iV6cA041ITaRJhG1AkQPwgkvbazG23Guay3cCGZPs0FfFb0hU5z6CpAADM/ubPhA4KXWIsZ
r6RnJKueqwkOHjHwBNsiSmEbdk18I/vtQDsB8SwXqUstBEMNZuQ9GiPMOfXbtDYS56HUG5FhblfZ
ibGi12fs92gQ36Q7NtcXapnH86aA7s+SBlGvHujdCdPJE5XcsfPhujHgNVwU1gbTXHMPBtXCAyrm
OeOGcZ9G5cEM++hl9ApcHJA9r7HIujYBc2L5uKJWN4+ywEDqbkfBRyBJf2SlYGcq6SNaQFE8K31E
yNNBWB3xS6fCef8ki2cSfpMghRyBPRXHzukxO+2r0doOXndn6QZw3UAi+9BsjOUWD313N5cJPOyA
yxLH0LH+3J2kC5edefwemV8GHkHsu+tzBMF8O11KT7ZLgXfkprIZT5ewY9xYvbDPDfgmD3PN5MnO
2d17Z2Ug4Td2eXAtW4gXgqFZtXC60QdrFHxIWXKfxX72gNQ4Av7S/6NzM7RZnchXVtvgZ0Ynanjx
rStbcwUkOlsB72xDictNXrLIcFe54RcwtkGxGiDJHsq0PFJxtK0tMGiYRRWh86jmclVMKn2JZI1M
hjb1wkQ6fYFbgtjULHxvTbIxDaDYNO2otWfeGy9kfUdDjWg12wyMhawqLwi+PNN5csWrPX2oXB8f
lPG//lDUmiP6SB/KgMInJgtptQmnmR0J5XnFe+qiQgJ8EWIlcxULoC5XGYEPyNDICBFg1508EhO4
HejaiY4Z605Ons9B1UYrLOmXgCUlj8CBzM820O5pC3YwldhQYIoGNXYqCdPe2TNLr6WsnI52VAwX
agtb/w56XeKOSlbEHitIS15LQFW+dKNnnqlNRflXUzrxVTWcwWEeuRE+nK6nYHW2wL0RHkkbHAKr
9UL5EwAh+sOFXQHNAjMTB2pVeM8vzJwjT0Ot8H/HPZUBadtF7Nn1/GyZs1Pr1ukOqbHiaXa9ZJMa
zAyoGGWsPYk6/OwxN8avGD6l0QS1MWpkLU5V2I2/V41RPI1pX6xVghA9tQ6hnR+bCU+069gWOiki
e6KuuYJUOQL1mLjrk8pu6FdwfMiQfceBfCgw7IH+z+qhOWc2rAWyNDcD5Nebs1PB5xegHOwmEhiL
CY4N62tlJX00VY15SfKe7xB6mGAJp4/BAATJ7fxzPcjdOAOjDnFE9Wj6Q36uYnlmhmkUAIvOWLCZ
NuyEdKsTN+0hnIA4C/OqeKQ6GF19cXILQCxdFfsDTOP1QmiiA0wmWAtW0eDpi/GjCehUKGHuSEUa
YZVrmfbsgWpMibne5GTpmtrklA4XhEGu3anHMMLwuisRSaKiQNgTwv39w+yNXyCV0x6pujUAa8QP
tN9TMWoqDqYR6AJUpM1QW092m2UnOpM/g14R4+0FyhI+KG2YE8B7I8APJbsMfGQrm3X9Ck+aaq3a
wgtoYF+YxsPwx/WvbSp/DiaQzQHLw1HmxLbu0izZWHJSj9TdUUjMWmy23j++iDjWQM6Ln8Jvagm+
KPj40RLOTlD29mz7knoamW2I/a2K9tLRWwPJN56odK2C4QbShuO4AaH2fTh0/m1Ax6d+CaWDnSxH
b5Vx8BwmoGAvfSLy6yZshDZcCPd+V0BmJm8gdzeO6r2f7XfDuvNg7OfLMg6GNDJPyGe3JyAB8yAd
M/kt3FGY+dbOeP+37TQer+Yci7+sWCPL5QUVUkSHrgU3n9zRb0US0bkVQR2C/IzuDJoiOmP6/Xxr
pbENYJlB7bNxJ5DBumts8welhF0hIdFW1+6GUsKYtZ0mGBE8tJiFUq8w8Z6nAXrFUT7466uHkmU+
913c3vvcr+4zO/tESJgyicTaK0t/3eHViZTsYnJBqwTJuNjcdLYyo86PEsuWNI1lCRTQn11IYysd
ZRVACmdcTUORTgvPVxfoHiY7Akhd6wgm5Y5tE1zN3eD5DYBIOUIB3WUCFw1CynLmgOwqEGeg+2c/
UyssxmBwDF+HLB2i9RghTlcaA9Q0TatgJ5n6KxPZsYutNxPULy5RXn6drDrdU4nqRWe9D6U62jDX
GIMJi7Y7x4bWcQxx6sPkNf2Tk3bNqq1ksx50kRumt3OTKF5Sa8ET/66q+Z4aqars+8C3mXlPJfjl
QJ53yosDPNg/Ho2Z6ziq3Xs4ZbcPRnrqLDXcm9r+fMiRQvfDli2ojercyICNVTwgIKT7U52fntq6
s459kp9vA91pZAsq/jLQVg7S4hgEPtiAMMX8fiYakOQq3BaWENlZYZ4A0QUTIazI2xqGsg4qHNzf
9jDDX5teCPRXi+gRImmIUmgWAuABQ9U7Ryp1o+EcYIzxRiXaAPI/LRM4nW/sfIBQdy+ihx7xVD2Y
DhPGraHv7jjomxSq2/qIrXSc4zAY8sGVAEllCh6Q8yeL/qQEstYBl66ABCouH22Suj5ktm2cqDQN
4NGOg/mJSrU39Me6EPMmQ+bsGEcSjpJ6k/5nz4n9btOm1Sv1yMzqvQcVpyxbOrxMYEvIW0jQggQ0
w7J24UMt+zxUmX/HdEOuGwoOMCsEYUHTLwb/DmTj9xFgu/6YSwt0HSfb9RqiYJszv+dQv5yt5iHX
MAUPj/ZtUyKMQh2obtBiQAawsNdBTWHwe89fK+/kOuPSTa0YYGnFz7QZ/BE2bPDQXfcwVMKCHg1S
aKDzpFs4+IujjZAa9aNWgAuferiybUlZS/kuLFFccSBhLd+Exv6CGqisW40w+gbMJ/j3El5Cyh+s
x9teZEwyKHWdEaGVp/7H1lu/sXCOMLv5KoehekVwFukQfP1n5F2thwrZSKqv4UGPsFlTbtkYV68S
y6R8LN1PfYcJDyQ4seTW9bfhCi41hxrQ7EtrQbFmho/TCxYSEEDXe7Wuoz2qo1bqN/S1/LVV+MP7
2KIO66U/SGtjzDZIcq2ESBKU+PcAoKyo6lZPe4XbRqdO8GbjO+n8xLPwZMCk47veAWRyoB2Ywl9r
vBpOvlcr8hDfRJd0cm/U5iULsYaI6Zuj3cafYdYjpgEBEnynrt5Qgz1bcu//OULgLz1fqUAejFuA
8bDnwCrGdjOIynzCV2lshixSARWzBkhjB2GbBRWbMcUyDTOFqI6tbmkb1noYkgTYIQz1gXBcVLjz
DkZrm0904DqpEFjVReniwL5CrD1EhBc6wZO4QGBsVUprPPuaHJSOsAhlThT0YD0hlR223H6BYhgk
DdO8XJp+xl8MVyFaa6gKPLfKfqnL5nVy7OwSIf759BeDDHNigSos96Rgq20YSYq5UhBFQF3ijgli
2hnmAG8sd+varrPODUttJmC8ER/Hy5eKdsOxstIvXyq28FNdzrms7qcp43sr840lZKCmzwyiScu+
c/IjQi79CzBpisMzgXrJkhugm/njZ19AtBeCT/nR7g3qRYP/qpdtgAuiTFciGpL2L9w40RHKtns/
LRV/OS16NdlQrCtjMAPkD/PzbZPY0IMr2elWk5t4jy+AyVrWtVMeqQHuIuoM8nt3ZBD2/axy3Mt4
zzzDJczd5lPlrFNkPj/3dRNkGrOUeDAxiMr2/1N2Xr2RG12Y/kUEmMMtO3dL3cojzQ0x4xmzmEMx
//p9WPJnGYax2L0hWIHsyArnvMG/S1GCvU0DluefYCaujNo0e82b7q8rjaj4vFJ1yP++sjEL6/NK
hXbCYvJxrrpjglfFD1keJgSr/mxxogybenBfHVQ6dtUwJvdto2WXVpvMfeC41TORFnJb3mD/0S99
qK7KqvmjF0vyrSMYvwVVJq7CJrVqOMTvIMFmT6mMxCYu8uZnMvqoPJA5yyJmVK2W70sSNGi2SHFD
LnI4+W31waK/2DaTTSwK4yX0nmb/OwtOMLV98udqdJLBevsoC8PbRJWTPBhdZB59P3OPlWWQJAJ/
j03vOH3YboWNDXOroUUfPRNCbzjBNWqM6mWAQrCp8Qg5GkFVveikqqB7BsumtkX9Ms6jfutwS+S5
q15UD2fyj/Ey5w+qym0DuUl9X5xU/yUenENTGPlWtRLE767Ioz2ql1JVvpi2WO30j6rUCSuAb4SP
ibp3krTa3sVTGWlY3owbWxUg2Pq76jtVRXstEgfGd6JZmOkkxQuhq+uQl9V3KwEjbSPpc259H2zt
AqlDGtX3OZpR8+xt/hR4ebzX+k/VXTPAJk0+C3tVRJfBq7rxo7L65oizntyranxMt52dFnApCvNU
maLZqZsOmnOueBhf3LKDkmfZJzBk2VNW2fj22IC7pTfgT1UNEVNhw1xNNPmp7kAZiXmA5FWO2caN
2/6IipdGgnQt/z9e/Hmr9dX+8wZGjAto2lWor6yKDR3MfvQsXlMDMbLeqJ1Q1ZfGtGzreLQ+u7Xl
9I9unZ//s5vLYumks06+nxNlCU4S8VeSdUEoPQO/hG6xv+k475boQb/peiBurtuIcFkHUdYHwyGA
m7FTRbdxyMMTKLhTxch6HWK3exNWa1+nIs5IY3KzwXUgE/dIHKZD6JLz/wM2+1Y3S4ITAJsuqREE
320LNzmsE/UnxFqG/ZR12iUKmv4CudvfW0mtPaYzgm8Cjvd3Z+ivprp+yZCBGpP2V11iUTF53YhC
K97DdRSUV6+e+xMy1vMxjWR3K2YNVWGsSN5IEP0u0kH8GetHx7R4H41hvvq5P+FGw7OnrSSzNG2M
A8yA/tyJBbfWoXR2CdqfL/o6ULB7n35qrkTLmpgYfpHDMbP06DhrbbztpGm9lknnH+uGIIQqzkDK
jpmWpZ9FTE6toxnI7LM4xjylBdZnW71K7ddcn8iWW2XJ/Eqxc9KJolt9dvZIVx8bjBQ/W9027o4e
EaHPa0Xlsc7LBVaD67W1S/ZEzgb2j+u7gt5TYBunDZ+thQORtPd1VCjX1iCok2NsaPNnax5E2iEe
DP2zdcnT6ECKHTLGeufWIxGCJbj12eoYOD07JoLj6lYi0a2D3qGjqorMbcZh6SWyBeu15TQuB9OJ
ME1ZX9cYzOmAfRtUrVmepF93x2guX/EemqYQlqW8Vwd+3r/OUuvmyWW6+3cP1U1AeQ1J5OUHVZQ1
JsOlcDBNWu0jC9v074OlA2dURzcmX8tDHMVN9k2M+KmqVP3UIa7Sn14CslSVVKOroT/ZF+M+Xa//
6prmxKLylFzYV50660z9xSyxNP26t8SZ9eIL5yyTiBlPdYtSOLcNWjlbdWOjYPAJE9jjBSzry9eL
RRX2I41WPWRsyP/x+lA4JCJHZbpTfb9ezDOzk+PL+u6rvo+14ox29Zt65a97J6XpbwiMGZ/38J4j
z4AqutqtqIOW4LQiAlyy55VV9r/qPBdOF6qyiVXG36cOqTT0W5AcsLRiqwOwuPs8VV27OtdC0eHH
p1r+L7fr8uRgRjGphfUl5/U+btyzK1Jle9Z8JEYCc2ekPmszdHCD0QhOTcy/XBVdJ/PYN4nqXneC
+K3Fw03VG5NvnZpWZxkL+OrdkFDBXAncGZSz/VoQDVD1WRFMp0VMkAPVzbHlIUcCrpAYCAtag1SA
OtRdGty160EVu85p9noEUVzVjU1Dkpocfx3qpm4TmUq9+9TrvPssl9s+sJYLk7BNbGxtcCNv2BH4
Yl7JStbZqqNqMRJsG9feYr32q16dBZHx12Wq+HltGztnu0Jz9WeTy8M8m9odkIbct4t7dZjtBMGq
9aDOVF1CwmgLDrrd/KsBqXEIiOu1qnOqDYdZr6vzv+pVD3UpafJo37Jc/nzF/3oxda3RBj8JIK6R
OUK/+RjNe321R5zXA7iuvw61MlDMoZWc3Fjftar41We0Yn2jB9p4MKWXho7hJBhKt/HJq4v8MIo4
f0ui7FFRShYZpfwtun/2CACj/997RFrTbeelQx42QEE06DuCV11c3pm6t7MtvHa/qrw8RRzhq/x1
RWtm/dGqmnvoMcWdqv/s7M26tx0KHO2cvu8e0JqH2WLj2DEROwlI97XeEVuqKmxmp3v4rKxLeQDQ
twq5UletB9nmyY49tr5Vt/lsMDz8YzLUtBd9tXFavZ0mbdY3eR71m6+61Bee91mulHfTV5NhIKca
qitV5T/aVVlKtDD+dbv/7Dit70C1qIO6o2v4f9V9FXnqmNhVH79scITZZxDQtgEZlyms47m+n3Bj
JLNTNfqlgZuiW4KiaukjafbbuGvhVvIr71Wl27qrKchspdusRfvUGuVTk+iMJWbinfwgI1wyttmj
6b+rNlUD4jQ9ekQeN191roOPR1LCpjMyp30SYAWeqifVXR1yK2DZrvve52uoOlvoKaIhQh7Nyh+P
RqGDgSmK/J5gXH4viX0cBSoQTVQZI/9dn6NqUX3AcnbgsQd0nNfeqgHupLGvBgvJsCI3z5WTDfIl
KjD8dRqs8AI/fi6cZPowCjDrrVN05KEbTOnyGIBEKefz3ECqZ+EYPyCkiUGjBgMzY+scjoU9/4Jo
v4GEMsZh3o9gjawAzJKNoECe9C9aRBJvsFqkOzykt/U8S0/auu6Cu1TtrGmeXmoJmDxxUdY3/Oz0
eSeMTgmuRAg+9jx+eVFeo6VARLWrL5Zjksf15rwmO/S/sjpTB5nI6mhLC7GnOL53/z4QWoP7PjGs
FYlvHnRffqjGr/p/9V2mRqzYtv+8x9elIvOHM558O3Xvr3p19lW31H5ylyCbvb6Df73SV516M9mC
9LKPC+HfXf3STg6NWyK0FTvyHmFYjOq92NpPfiF3bbqA3y8eAw8ip1Z1/ktdmg819ks3nUTqi+yN
JVy8Lr8MYxG8LFEvt8RdPL4DWm05unuL5f/OXIvB6qW7aEBw1J3SoTXwjRE/VKODVNBTxOPCmvuu
zZwaG7aYRx3vdY7RKmdLBgosgyqrU2TSxzOI1pX3MQWvRYTPdz6NV1WCyvlclPp4+ywJm8CWPz18
llzvWCyV/qhKQUaExEU3oLS8b+DPoQ2P3XJTBxMg7K6MLB2IAnVlY//V0IKoxHLF93ed7vQuDP+1
BVGVMGaEOn7doUEn4JbG4lDmCWb0f98ZcnywKy3QlwEmnNCdCnuH9pj70AG6ebArLz3OtgezbKiB
lqwHi6jIfYH1vBmxG2FVSl1vxQerXSaWp5RU3zSxzbB1E+jq2Ps89Jgmpdp0pyfzuC2IbP1Ehacx
3J8tSntbPSvMO0urves8kFZTDQ1sc3w79Y9hdOBwLt1vCFn+YZZddS4wa0AE8Os0BZ59Jq0rl00a
m9W5M1y8uyYtOmHpQMwZQqXrtPWLGICBM8O3J4J79UvBAufQYoW9Va0F5ML7dizeCEbn3aYfl9Dv
E/lUr0lVVGaW0PFwcRziAFMAGFLYivSlfpZGtHwesnL8Z/GntrgFQr9afCEqBC9lPYuWSvyjqBr+
VZev/Wq/xIJWXWIs3Y6xxTm2wIEmIch4zIXYeUJvYcUm6aPhtDBhGtn8lIP7Eky69ZL1k33MPDva
5/UQfdOgEUxAaX42C5Kj5TB311QvrPuJbOemaafyNiVCl4c4holWgvJCD2OMTobM8IqUZvRgrgd2
Tc11XIlsKeH+HRhYFulyxDWGRtWNKfo34ev0rO6hDsJNAIHHe2ip4NKEveBtjpShbc3frbpGaZNE
Oq5QfXpIBhDh0eCIa4qOw7VqBJqvMnKJRFD8ahBrsbA7oE8WJkxfDZrrNPcawE2vKVHOLaX3bsUR
Wsui9S4uxOJvY//TXasjPKBO/RocJEvQhCCY46MB1xUFrFHDHdXV7iAP27sxLkj8rA2qTrU6Bttc
xNrpAxy22aBBGGrF4t2CDoS479nJT33On2TTaC810K6jXGxznzel9l462kZ1mHHY3vZNZt+pK6MS
qI6yXsFm5KkwdPK7f1lBdE7ObJdZt9R1zBsRyXEfFxoOIn/XqbM2Fc1mDWfs52Ae4BCyMxrmyeeP
ybXq4LS5eQ2qF1WwKgaIsAD0d5oq75fXzn22Y92d72wYfNuvq5r1+tiqh1DOkXdQDeqtRGAfsPCJ
EZlfXbE9qPhaL8XbjOf7baiNOCShT8C5XeaD10hvp7r5ESkC1w6Yd9fW/++rnCFpXnvMlzTLHB4Q
JxoeYCMg9WHhk0wm6e6rvk9KEsXL4rMdpJtqyHJdvyPEelIXqXo+L6IP3biGuDzrRrabCPvou990
R39XojppcEB3wPutxRL5fsOv3zypudshAF9nxaI7SRyjjiCzrJtTy7+u5ht9Bz38pxX3v7ldfP+p
86cUAL1VmkY4uDglEYaeX9KAqqEbpluZZ/rWzA3AwNK/nw1U1ZQiVTqYh1hP/HtVUvVrleoVLCI6
fCZ+zbIC8Ge74rmezehRK54ACUN5WQ8LlkzbtJmSvSoCF11tlJv50KQLwpZ+fyeNbr45S4GQJVn3
DZSq5aQaE2+a97gwlzvVit/tdClKfHhUa1ug6DWD41KNqgqmBVBbe76pkhMRY4jkXcT2pjS3q990
vtppDABKtzmA9I0qfvlVfxrdqPK09pGN1m2Up7Xu+RPcaGN+9n1kO00NI1OWvMuzBquHzcT0Oq8l
VaWb5hsysfm96i/5yx6wiWfWWXv4wIgeB2ETwOdmAWQKRDZAipnY6JjJFXssloATo0+dP866y+rR
Tu7JS+lb3tD4iKydycI2ZNx8nNqhBlxpZpu5mPHb0wZcAvr3uHOCh+zsMtg8enC783km25oX3sEm
ur73vcDd21X+Xqe1Bkjf1TaC9OSRdOwJIeDkMYgY3A04it99At12h0KzYdoWGhf2dFVnmgPcqKkR
cDRdftZUGwvs2+tV9DjYEH9iliYUS+SMKXnUI9yOZWRv/cokiputSPKjNz3OwboiCpD2jXl9JDDm
6myZ7bJ5NRNY3shnnHn+pxAY2x8VEntPtW7Fp9gvPoIh/iHSODhEiREcs0gjtsV2mFky4V+0vDrJ
nB/cFc3gy+mUtjWfFf0cP8Gm2HbCGTmphxom4l4ge5BFoM8b46W3jO+BYfqhDiJsa/cR0U7NC1uL
BJE+A/wZ434zjDw9RAlKPKc6bLvQDNEfgkBH/pw8YWguAgIQiYgdoGcP4mk9yS2Zjt049szLep5e
JmCLoai6+55wfEzE/lfmlEjMNla3iyuj2dedVoSjDcDUzIcNupIAnZIPw+2XH13TH/AvPMnFuVl1
q18CCbaVyWnYBUlbhkYy/xn1P9oS9WX2vr+Rwua7kB+oDB7SoPw2FIBJzLqHils9maDVwrHFXN7U
vsVltnHahmml6bAfE/aPvHxH92tv8c2UAaZ5kyd/6ywTto79BhugOQM5ZneC2UtopwMhA00bN+ZS
5gCsnO9mYi4AvllTBkklNnT4gEy6q0sm2LnAbKqps2vigqxeYvJ2ToZHwVT1B9CiP7SxLF/66M8G
Cd0DJLRXjego64TlWk8EkIpkFZyaciaPxdvqhnkFj8knWRpUmQgvAJEcf+dp3F6N2cIMLX/ph8F4
tbzzAIJyo0XixYAXsq1QNthOjAFEPO0T9uJXe5nOldBx4sqK69jh+WRAkdktGT8Gid7hkIAnPSfx
KWi6nWdinhhVLRY59vjYG0nL4rNrDomL6OAw9A9AP7Z2O4+gkO2zUflaqCdJAdKuf/aWioTlXC3b
Pirbs0jHU9uDzUVqidQs8HWt14/jCMesskuAr+C6kK0n2594WKjUpIm6Hre4AVeGJHKvvgfMGdcc
0TfuoesTtDMTfeOCgBRILxyXBR6DjQVQaESlcWZb7m/GXmPpHrUnYtih3XQzKA79nAYCfnjTJOau
mRt57jOE02/qtIH3lof/aFtMnYqycoeD1PtTVRPoAh3JVeouhmr+vEGMR1AamWExLeMBskcJ29lu
Q6zeJ3Q0FnkWQWLunV6/6WbdnAGSLzxhiY9dCvvjrZwBmfTm/Ju5yoUmswSPUqxq8qwMQma/+Oya
iCuU8SaqPTyocv/XE35OH6nPBm72miQszZ+m6z2LqA9NcnqnGK7qzkuHP2rJzyOC5aG2XQR8a7Sb
ycBX5SqSPQS3Ns8S9IMxXnXFS5kszS7vASK3/e/CQ7MEoK6HbGpd7xYt8W9DG52KxdeeIwR+ozm5
GFb/WjpdtUe55KMrc23nRZIfD2FH1H+Ge90VAyl8EtWGrJ5lMnyPW7tDyTBxD5lLQqUe+300tOWG
95tdimI6BAlfSFGj2WIWznDfVHxZRi5eipG8vtmwdYnEIUuL/UJA+egKeVcUFdI+WfU61vpGrN4w
+FRiE4VnGhnNbN9V0V1boyqR8TDqxvBQR8Z7YnqEamR70dlvbPplGHYwF52zZmqCmH1mn3KByEXb
NX8Ko6pCPKktvf0TlZ40nOwUa3KZY5gaP3alZRxR6G3j3tmigFx58lnPxVtj60kYWBNbX7+4Jp4b
71trRF84BpvaBsXJNFgkZH723rXBEvaZP288eVd3eei7sxuKoMTwvaj9fUW659oDWWxj2V1Lpyea
ixwJYmrwsDqho0kp+1di+mkoBufdqmIYWYScbkIPjmOO5okvz5U2/w489K+c4MMZC+w/rfFUknkK
E0G6mMl52swOcL7KDPwNYejpyM4rJ7uGmk1eNJd07BiD/cneY55hhv3q9GnlxhuE7gnsantnz36w
TesB74wMcqoY04s6DMJJL2RHL3nRulCH3QIY7/DsZxAsiCyFhauFfdf+mVrOmzPOf7RmRw4sse8A
Y19qWIjeTBzRdv1miw7CN4nZ6M4r8xdkxZ3rxHQfdm3eHutYFg/FDA5PS/pH0S+h3Rf5rmBRtzUh
ZiGKleLwZYxgaQt30xs4KzemsBAE8rNjW/jxHbY0EWo/VnJZgsI5RazUziLJjHM6WjA0k3K5VGk2
HktEkO+AhlsHQ4j5fkiKmMUstFbgMc1+GDFGJNdk7Oo08x6KLk52cXvf9NB6bOGSTMUAEu0MlsRl
g89hgvjvZkVBbrpMJ29uA4l3hHBeXCvALnARzauUx0Fz8RsoU/+1I2m/aT2nR20/QWO4BwZkzVgy
IZGvf1sadk5GM1TvWkNONMi66VQ7trOF8irDjuHyfXJg+iTwWt6hFXeAk8E+gFPF9a8X1jsTGM6K
ULXeJ7fv8fAVOt6aDv4ZxEXeYwRRQob18Z14Ohu2rBnejSAawgKU1HvgIIXkLH77HlcMEegYNu9Q
yCZEtZF4izXrjOGgeUV/MiAg4UVbVUzFYl5LDRbRlLwvXVZv4CXZYLrjbt/YE5OsbZ8Tlz1xFNvD
tUPE9Sr5rJfJb/cAztgrMwFt66CAapl7zj1rbSJKwYO2tNpLl/GVjfZmcHmXSAxlSHlPIxrJiML0
sbVGQVHzARoF7DfGQc+dbGPjAhnf67omMU6RP/whJ8WMNggc/+qZnM68H9AT2YIUcje4YVnhYFj5
rXFGL5xFZu0yQsCh5QwHs8oCPMnTcb/U1yFr5mMv0+i68Fm01L0Ds/iaJ5F4IJDah2hSMWW1mn5D
Ch1Fv3J5cO2ZCbtq5w2BBNB1KHeTmGInqw9pv4HM0O2t1QS1L9MNjPjs5o59dQoWnFaRdsSDpV6+
V32Fz0i1HBpc+XZzHbwBDt727ZhCfOH5jxYQv3PjCz6KCzYEw+FuAa3tubsoS+Iwygm0yhYdHMHp
Pk2hDIkIjS9jzB9cLbua69Ad5wSu3KJvtz3aoRo6bEzcAuIDAQG0WCNn0weFF+pFRSKS6aFLI/dp
rAOC6k6xl71Vh2NFUKMKYn+bYQAXSjLLO5nU7nb22+GMUId7nwoj5U+3gFuQhMsMmwG1ZAl986r0
rrQaQLrW3Yw03W5w5vQCt6M5sPB3eGc3dNOao4FihtBkdOl4VBGHqv+wvaXHiE04xwEpmiRJCSHP
nrHruqg6VLHIN3b6Kl2jeYjnyQyJqH1n9CbDPIr5XDrhMA91mMhYu7m17K+TO2lhSbr+XopRbNBs
5oPrwTnBeqOsCPNkXftAtBtwQw/wp2pRoCwdDLQ9w0CZHs3LEFFaXzeyK/TGPX+J6dpJso3YKAbn
OPJxTC38e4TcD0Os5eHg6zebgM7Ocuc5NDrt3AXVqxCud1d22u924oeaHMO6t+um3Mk5+yUt8Dst
ouI45zxUfZve5cM4hVo6e+GEy0DHvI8qBNOK7hZnjLyj3RzhHiQGmNJ9FGG6hnSH8LTf9mSPFzsC
vjXVySbpJ2cjBf+TvjaLsyYGKKAWgdF5qk7+POAM4lfNHZpjV71lS2UBFbGwRDSx3AAsy4pMFO6l
nQIcXSYWT0Y7yAMk210yaVDWGrEcCyeXQCvrl05Wj5oO4A2BbXnwpPwwRG5urNawecJyHr7Avi39
BEtuiU9+jGvRGhPthyTbIQfNCj425q3O7qMOEnGGo6STvVq+S2mBlWNZsOWhgEOBz/pmmSbch/rg
I49KO+y8gVgHMk1Tjja0dG+kSqfrBMgQzSK5z/34zUOsZjcFJm6mIt8tU+yyGR74goZB7N040nfC
y98wBJq2DSGzHZKr+i5PQBNWWozQilnflRN6WDJiiipc2wo9JOH2Wjp4m65Iu42IkgMxuPycIb3r
6qZ7YY1/h9llh4x5+mAZhnaoeZDCaH7IAXCMRSoeJfvZ2CHRbPnkTQS8kq6R7Fj11mSlz86utuLp
UNSusU0B2ITCR042vcVicljeyGFTgJDcOl72mATi4jp+u+uQyCVvXej7ATrecfH0AMYvIieM4VBp
hqzY9wi/L71bIeeV4sWAnvo+mvWd9Pw2hK6c76PAYSSJRLxD5enDQHdn1/RyfDYKwkIF7JvGNLH6
CgI8Sy2Ev5oonbaYPz7zU/nEWPwfhD/zvdBwupitrZeDkYkJyoHW91ocTVoE7cyoAOYzibeE+Aw8
140GNhBQe9duBpYU+8ZBwbxBCQJ0eNU9NTkULotEYEDOv51A0OeTPYc6K2m7xxqM8ecnMgvjRaT5
oxY1y2bQjeheSOvDtcnDL0N9TvtMnMqZ4drWgHNVZDNq7+Kxy4R6esF7d2vgQrdpGgNFpCqCOheB
U8rkuTNLQF5TjqZj3IQRAqsHXWPPMjRO+3lwFlAQdlVgjeQ6j1GQLXs4mphhZBBS+0Vjpz4VKUCA
oDlhedmfp1EMZ3X2dYhduz8XKdApODXM1B7hdvDth7nM/QM/bn22cr0+u8S79t1SXWfEfs9IIi3n
tGDTFsBL2qi7+R3JgD6fDg0JRmRoLkQv/JBQ/1UYQXvOmvKt9QsCKKU9tsclKdgiB7Ca/XxGlrif
z6PVo2XuSbxwXaMoQsdBncUs7dOgrYZ49WGal/LMLFKyCZqindNXb24CKqAb4or7E2qR+OwWdrXR
kiphL+VHZ3Vg+co6NMmuDmH3faTp7XnpW/SyRufQMhyeWz0Du5iwLA2btnpJs+4P2ZX953elztTX
lCwO2udztPgov/TiEK1ulGqfoc78tbha8/F7b9u6nHjTHNwpGs9u/AqpqWag2xlI/bO7ICsbeOmb
VcalsZF6k526biHhvmyNMXs0tCDFzZ4PRvLNQYYSJQhW8FJG0YZBan0DzW2o5DXTGC6Q0N0k2RwV
YaJH0WHJm+MoG4QVSlwR0+Q0dvASNRZrwGAn66zeAWIe5IW95ZW0XY1fheUvG3UqjaRm+xtZYdIB
okQqBPr3S1UGbK1Gm3gNhlRngA7mWcAx39QePLbmp7/kP4m7+HyzERpyg+n47I4p44GFDWoiTuq3
qs2pOrfrQRXVwUbMg7/5+lP+V3OEEf0/eo9eIPfzKAgulgejHjeYLX+wOek30kYVbudqNgIjZXYc
miIgqUOHuMb/u/JTxNLnsA1a8JnCa4DccRhA/O3nXwJPCTKAk6F1d1HeJ6dcK5Bzv/XYBO77ZHgs
o/ouYxw4o5KNQ1pd/EBOLiZQLqFp9XjMLuZNog1POFzzd17WaiHAaNIJcbo8RU1RMnYvxd4Y40eP
rFhUPOO7/trqvnUY1jCB7jjFeYqRiWxb8zIbWNscICJ4z33LMxwMPnjJonoJFA0S+4Eyhkg5jCet
cjMeHX++ihlBNsfTJKsm4owB4g3NkJ8jXaDL3WksqyBjXfhqTmjBaE64kHUOtQmQlm+ZYRbE9jOK
R2VdZ+egWn7xY+NPA2j1ZI8l3ppm2m0TUmTm2AXXUSzWgaByDWtsk7KF2DqtrG56AalxYBu1EXmd
hn0eVzcnJeOMkBWi/eUBov2yJQsT0AvBZ2tC2RaPG9NfsndQ/+0lKlN7gyVyuZXa0txlCGdYRqW9
1Qyze29q/VOOL9Ej3pnkpJ2l+2PKxMFbOrznO/vZ80R14BEojxFx9LeqjFBMSLUffWTXG+RpBxCj
Ir9qOvseGQy7Ok/Ej7hOXokkbXDgtj+GWDwiiOr9LgTxNOYFs9TcWx6xfCnjtAlbHds2W7o/icz7
xAIYozy9648ES55IDcJx6RuIVkRLtlUss5OJ4vzWK+zliIrpclhIHWxBaVrbRevkjuXjtqrH9KA3
a7wjICJVEmntRO9eAfpjVyiGpxI+iZVWyUek1S5McJIJ5nNW69VKXkl2uuUuT3LUPzppvJdj16BO
DmGSbD95GLxaUj8N0AEayy2ay9mjSLMCcms2M0jturnIL01Rjxdnjd7NQH1Hq22OwdBqr1hf70Rg
EVKFsbeN+nw3xWn8ClLwp8Bo6t5uTe3F0h0N+wx93Pl9AbLRqZJ93k7+R0v8ug18sPUymi8EPuNt
biOnNJBBPqLIv/VRcv8hg9HaeJln3NgBWKe2TuRBwj17TuwO1juZ8N8t8sFOkP5qMSRmPW1Yj0GV
16v3iH0MrEE8Wk1EaEMT5R95/RtZgYQcaVKHS+sGz6CNo32ceBCGmwWPrSVbboQYfs1md1pm0T2P
svMfe4QtkhI8M0bT7QElcIYjlf/OebNnlfPOyKXl4Vf5s1n1VJWqrA6q+9fVX3X/eQvV7C6RGucR
K9NOMZFP2B+rqfHnaTVid6zK6kzNN0Oi00mV/3H61f7VXdWpw7/q1H1U3Wx05dbS6ylkb5ej/VaW
NZPqeqp7LGEIp/6v1hpsFgRre64B2d3hx/ZX+fPSz6OYSQNqjraPM9Gc1aFep9nRrhAfU2Vbzv8r
o17NKnJI76rZjJ8cQ+dx8AtrA4goflJ1deEyuqf2eFB16qDDTdeTMbr7rCrc7CFmGPu6qMO58WSj
5v9ZpxpKubTkd1at4/Xmn3WpJkPDGPTTVx07zg1i9tatsnNjl/h1fHBqpMYrrXGuem3r16gIEqa+
qfvR+sZbARD52dS16bxEoti5GBA9VvPC9imeQyTeqo8ExMUhxQDySGIE1jLsREz2toYZDNuhzYml
ROW9Ww3yzk7zg88ce8HJkyXSkuUnmGOHjC3/pUSy9YC4y2vZ5t4V+qG+09h2MazE7v3YTSkrfP0+
m7ozYijFBfdegaUOQG5QVMvOCgwX05MC/bhq+SE8ZCf5ooNnAvr3ZdfqH+itlVsxuuVOX4wH0s09
W8wemcYqmzYSdcOD3VZkenQEmQwTohxL7202DPpr440ARrtsZVMQScrxh8KCKrbe0/qXJXvJThlA
Yx87b8to19sC7txTniBSUE/VT2L580VVtbHZX4O8OKmSOkAUjvcS6vdW9Vd1XW++Bs7Q3qnSkFQL
GabpvuvmAJxaJ7ZVkY1PpYhKaLDJuNPicXxSdUnFYhdw1FWVAlw5L0lT/EaG5q8Oy4RUNVFJMCjr
PdShMP9MRkc8qtsE9ZKcdKwLw68OQ4/dg621+UnVNTy3d50WXQNJDn+utuglxg/GUuiYeGbz3vPj
NTzBsK3qYid5LEoyqKrKqQZQt/n/Yey8luS2oXX9RKxiDreduycnydYNy5Ys5pz59PvjorepmmOf
2jcoAgQ5PQwgsNYfiu8yrktTNMzTXi01/SzVeGqK14mo+HqGHAtsHaCSYF4F5Aoc9DkuY+cSN4yv
SLb8L+h27dLMzM81/+vW/rkfIf4cOKShn+R8W8dei95GsnGsbLJhj4JT8YBkoHk1xkU/p4rGnbRJ
0Rdq8dAuRRArwDn1aV40n6Dm/LNj66wls3MpdfV5a5KtKfWLh63NjbO/VK9m9lNH3s6tm/ih0EkZ
h5j1rltbm620gAhq7yY9FDJMa7c8qNKLogOGaXVUx+PSxAxFzdqPgEDQ0WfOcJKqFhYZbggdvGvH
aj5C319APkuscOkcDWF2icMQUPVSHcKuxDEYnAlSTay9QvvD8FLwbYVJhHmpmiTVL3oDcr8dOvtj
zOvhEirM2GRvOjbJpa3L6RCYcOX71nZufs2kxE6IzqmKFiKSltrvTp+zBPPCL1KzMi15W/IEUotc
3343TAuVpDZ7kaaiC5hNZOV8L1UQU+YeD8ffK3QeDvpYee9W1CtIgkXK0fI8911janRRcyZ1Ui2Q
ekF/jUmOdDYYLp5hMNzJTh9Ex/tXnce63w+TwXtVls/qctKkZbrbel5+Lx2xJWZON3U4I2FcuJO2
gS/PMWxQofJY33tR2UOi4ZM3yodNvk2u7viEO5c0TttDF9kbtj5fnLQ5hU6fgv0MonOOWsh7MLyU
ZZ2dPAVj6HRYdC8H+40ggUXyV+uOBaisDyXpiU6l6tcuSPi6T3n2YWnjxDyfUQ7TmJS5uOHczRF0
Z3RE049eGUm2eP4X5KCx4BgRf/Y68yy1qhzqd8e4MjpGRxsvSwdU0M3RdQ/6VoIUde6HH81IJCut
SElBo9EvWh44+5CcwBLlc/Y9SJdjlJrdiTDWEhtzmc5nb1Nn5HtTz4KLpx8QH3Wf7cUPRgo9vRim
8mTk9ddOV7DicavpiR+NDEcxEq9OWbsoBrTImOTxPrBLqIY6GoKoZhV/tHn/7PuV+o6ToSBudrXp
+W8Zca2kYq6uKhXXZ9JAFy2FbIXLHMMuzIcgD9K1SRv96KYY/WvcpN9L2zUuDTYWj6GFPtzEFPcu
q7LfmHs3310zfOzHTPsLm41T4jUWi6WnZpp3TMhzcthtC1zCSnYe4spfgwV/Heb1LsAb48OMm2sE
kPe7liEMpzyn2Ji86nZxhzJvfio04rS5EudHd4hLkt7RVyZ91bl3ITKErReiT5+0z2Zf1AQC7Oh7
Hf6hBrN99hptQefn7mFSiRHmcVhgnO0StFVBxtqz/jLHQ/4+dPHCLkzDm1TTCr1RQBP3MO/tZ7+b
yEN1QwVXwxifo9pc+GVxcwIVHF+aCo0QS8kv2D1h4pDa9YWgX300F1o5K3Pjlak/f34mB0mC4gAI
6hgrJPpJaqW7WG8jgjf2ztRfcB18DWZGIIOh9hT4eoHbdw7qS9HKD91p0azN8heL1dpHP7vaS9vo
J9mH9Kl31+GhvRvtHx2D84cZOt5bViLPj0XGR28ZEy7amDAv+0aE4Ig142q61FT0Fl+rnsj9UutJ
Fr/mOPFKDT3g8rXxklPol9ZHW1SY7ebZWfZ1nqW+OH59WWulWb20w3w11URF1kK/JFU6P2ZL0arD
3Ry3OuEaamXX9KfeVWy0jHT7cdQ1hzXvlO2I6KAZII3Gsie2+MZMU3aX6bX9qA4ae/2pnY9mFPUI
1i512SUFCUxsnvpHqaynyqrGIqlaEEbNhvAy9BlhySbEMM216hDCEMphUi2WP0ASwOboBfZM1gI4
EdWx1ek9u+p87cLpfa3KHq0u+1tkJY9Z2v9mFnFxzYh4PfZ99XeBAqZzxFeu2n/aMaje+KDzU7a+
reFoxq4ZtWoHgBxpkeUsUUswaNRjBANMP3gyEnc8hT1kSi1VgyfeJEgCdj9P94uHkbRJPxdroCep
upX5DOOOKMNy/NY+Vw3yRbWtoMsY1EzlfO0QTn4I45Qij9scgDEUyyEtSSIvbZHJ6IkQUACcw27f
Myv/KP0qfJSa503+Aq3EkXzZObSxclYGO2YhnXfvqp3rDza+HyBGWkAv9KiApbI4fpNKWJNjQq9+
vpeq1gLlgIyXnqVaTnl89QcP5PByJDKe2dM8ROsflibbmvZRnQavUrOygRDrgCaKVCO834+2uQSi
l8ND2ypvcDHsnVRT3bGeayi4UpPf1wb6JbWz+ll+e7bgvEYrVvDTXH73AiyadK08SrXEXJ5HM8ft
Rn6bnSGDFCMEtdTkbJHfP6clIV4Sy6TWLC1X90rV1DebZAGB5KlirDaL5qLaZIYCzD8/nLGYdnEQ
OH8AIL6r2cKTjvepseafxC2+TERCfy876CIk5cM3fL751DM13OHRWT6C4EgvZWH7t9aYwzvfV6IL
ecj8UiDi+aRn8ZcUebYf7eS8mhN+7Y5b/sizwsZyORlvWompsRuDviH2E/24kohviOCzMNACN35M
xzwGiRMEd6RIz/E4v9tzbuyQ4wS+Uab2Qzt3xbzLKo3Hmze1T7MnKRTbTp+IhiKR7f/hoPC47xMY
6O5QkU8Lqh7AFdBzOHQqGpsdLBavHe8Ay8/Xuqn+xDZTuVpaNr1bXcVjNz5r+MF/wXftez67exL0
KHeX/im0w7+qLkueojhCtzZ1lBM0ffVLacUak9b2pLm6/RHaZ1Ji6VdjnoeToUTx0VXSu0DxvjNd
V29mHf1lRsWf3RiapHcq56KBGCXL5mKchdDYWMcpCkyQH7zQSL4NJInSyXKBIlUkKx1e7KQavYMe
kl6qAAK8FsWZiHxMyg/T8zaPMX9BnZgsgfa1mgPvYnlkPgG+p8cqRB7TdAArDWDhm6b3761vLqzv
xyHXXg21uUFEr3ZkoYKTWhARs5C7JPAyEu9VmZvXjvE0jt90HE+Ml6K13cuUdcgfjgCU6z1xRuWi
KeTV4DRVJ7jzOvIgvnH7DtRDfUyJgB3QV7IPuZ0vPrLzlc8jEpt28HuVufXbrPPRpkl/ckjcA+52
QiKmFIo5hvejF3+fckwXxwHtXKwWf87QYMpW93ADDJq91YftC8lb7WxVVngLrJyofFS6hyBXjS8g
P/8crLj8aaKCSS7or6jrKsjfIcH6okQcYmi7nYpI3RXnvuFVLbTouQKlIjUpKqvVThDnCY4tPaTw
Sx2ky+jd+ZBVXpFR0YD9xRewEccYL4anXjPVt4nU6tHTyXVL1UJI8TGL0YJfdvagC98GAzL2aPf3
0mTAPjg7kV0dGjfR3rzeaEF5AiBaatKkGRaCb22a3OSA5etzNfgyM3eJLoXmL2qfZfc2+UBazah8
kRqeVMExdX0sdJadIysb8tXtTWqernVvkZKCEHCQpJc2HY+Qa+/lNiwaDpCCScmJVwN70eWAwFWm
Y1IlKmgEejCrjp87nezDslNZinEg8KdAGrhKD0Ldw80vUIHaThm46Q3x1WT9zVk0FPvIm96mmHDH
ZGn6W+NjjZbX4S3NQr50RRv/tFsbXWnmTq9OaL+mw48ST9x3Ypr7ybBGrEly470cy+9hgtCE7CNE
q+4Rp/QuIEbNd1vDz1DpveEofXNDD24VNjV72TuoZHqwX7fOvvnM974EDFNP2c0LmUFARYtepUAc
pThWiV8ck3/a9CnKdkHlId5t69HrFIygvHwP7W/znIaR8eYWnfGWzAqDPpiWq1Rjxeuu2gw8RLpo
g2288QGbnCxa++cNaeQRldaLvRxeBfUJuLuPIDrctkrpnFcpkrhhtGuG8eoEsfPaoo3+OMYKNHMd
AFphBrCjcaQ5S2ciguELWnKsafw234P6bY5coPEIsPnv89XdzyJT/CPMfoBR2Ka8wqXTsbhrurUq
ba1ZH2qN75nUMDEtznMFwG6t6j5HzdnZB7jxJE2jMZPO62IVW48qeJO2afZvWs6LIbW6VfpLa9UF
PfijUvT29FQCDnlYm2BB4mg1eDvDyaNnx+U1b9HOsifd3JHbJVNsDMGrFJ4antXCmB+lNvpu8xjV
7rnQ0yjZz80SBa4rZyd7i4ivfGrphM6aJD5tbYaX/OWpKh+9vmxetAhW2V8O3qJjo75KwXOEgkdP
tnpr883ho47U8R5FH/W1D/z4vtbs37YOCesUlDea5ry1udiVteN60qYfEKxARmhvjfZ0r0fxczt6
2SPfwOyRFPqthwRxkxpGmba6k00vDV+11myvv7TJYVZT/Fm3fnDQyioD5JM7L1K4NVFCB0IADHXa
SlUBpEsuph4OCRzVtzr2yzc/KQmveXF0lrYsyolVxkDMw7wo91Plqzueff8qnU0Dj9YClWLDBP5T
qthhpQyzx6CL6rd6Ll9bAoUP6L3Wb0WCyK0ZKv5ehQ6K18Nw53RmzwVgZwh86kAiFaSUZtdv6lTH
T03sXmWnNOEzphG8b7yrNg3l42SOd3Yd9tzPwfhozKG8eWPdgQqaguyhDspjXh4VdSgPTePUB80K
ZoBHfnMyFcN56BMoGnHvJ4v92BEft6+N4Rfw4ft7v+wfrD5AsT0kJwUv4U+/i09WiOBBYrHSKZgB
eKVWXcbI/jG7OQi2+qr2AcwJJQTTrfb6oWUOsm+YfeQe/kJ6tptBCe/HSIFI6vM1l2wf+BjY9SYY
dFUZbiAmPrTaic4BHwQC3CqQdEDKfa/fqTNac62mGCQXYCe5yjkd9S+suxhsQC8cSkN9zLr0ihm1
cl91JfTYfnCvWQ8BzjA+4maIWf65rJNBe2Z96L7NmaXdJjLaxDtagolGscvyqYUztVNHnHRRJyZ9
O+EG4JV9smtnvpEshh/U/kULG+95EeGbIDHYU2XCewyMe7OJ1ZOCMcquiL7M8/xORugQtVp5KuzW
vesz3GAIBLC5FdOAArxtVHeIln0FYTHiQtf2p9IJ8XHVdf+xz39wmvCG3IqxQ/d52DumQea2ULT7
jLlqZo3qi5Fy5qHK5jsLwdkgBCSSKVguJjqcvCm5NNpQ3+rOr4/YRw6HxnGC+9St54Pa6l+DEf8A
EFPdMZihaKhz+WIB/3ipdPNDiaPqkqHWeI9MIrgSvinHtHHa+7IoiJLoA/yt2d8H1dTfAyS4dDWC
jG2d7PO6PHvZ6F1zY6oOKfMGllZmuDNw09rXfXexqgURGHTa0Rzs5ARA+E+kmv5YzEQvJlnyPVer
3wOH6/aosxHB47mxGwW4XtK2dxolOgnAtdCSYMXeGXztDRu2jfpnlegTvDqzvhsAGlyVJeBhNC8y
o9aWaTVTFB6jjjxIGiLMkidIRkRDq37o2R+9rTymKTxfxFH2afwCevnn7BrVjfybypcwqdFcU29T
UWmvJgwPk8eedK9dDwn4G6faG3kY3Xd5FdyCkRlGpvH+TiG+PGlXIrc3LE9vmRGycno0KZzoA6Ne
JpgJMVS7qutzaE9/uqbq3o9u0u4JBbYhodAV7IC3Grkl27kGfYgjRACZRssxLSvqJVLyFSJAvh/i
6EeTlbhkR+aFb3mfgFhB3qo+cUF/1ikWMSNheLIPmHK0lfVMYETfxaDLDn7cvHluA8fMbXB/U43i
GtaMg7Fi7uehb/ZlR0ygzp/RNFXv+yjS7tulcEwMKx1ImGm+C/XAP5odSL1Q01mhKE7H2Gs1xyBJ
3D2grFNUBD8UMg8oMUQoChHK+N5bQ/mlRdacj/aly7Gxc1w4TXpADkQdoad6TI8fggYgz/zCiqTd
k/esSvMRW/NshxvARxqrIX/esRYI9WGCXPw0egTYa72byAoHrwir8PlsKxBKvtqBwzfj+xHk5Q7b
LGYVLAq7RIXDY7YEr+c0ONneoj5b9T8C188QKDOAN7p6CojBzAEe+udwxqpRhzC/6zSoTO1fA6TB
CNjvsfGA89W2Q9TZ2Zl5q+4Rmi6OatGBUO4UDFg0VUE+Er2YIPBJLJTu21RNr2NoN/eEGrP93E2I
omXtE+zlVyLNzc5CT/7qTTooUN23ro7t3hS/925K4rs3a8HpVHH3R+N692XEMGs2CsNYWlWXGYUl
LFS/DQBRz1XXfcP7wIATbAdHpUymhwGvonuH4HGxEIiDVH9LHfcO/MPELHv0uYLDt5FVO9GNAPhS
HB91o/N3TQGJIosrAhVtYJJ1K61L5VbFzkrs9gx0vQAU51mAbvgYnCAz35ycpJReoLmFdOxbaXUu
UZ5COyRxfC6n1jz3deX9lnrvcJk6tfW/z3Z9gPPOt9RbIDLK98jo97mVBTd9DPBHrNTmwErdu/QA
z84WOFBwJ6SkFJ/FWwfh3rEKgh6qeWDO+OCN1vCcDmgUOdQQk0mOrRm855li321FNRTOWrWZ+V/t
GooYNl+Pls/c0RsscIxuBtCz8ryTH/jePvRQX9MY+vYsmXe6GvAq+qZxN9cxaVNmHz/SXD/mQTLd
1Bn5JoSiXrQ4+MtaHKKg6tyjWywPI6szPsRLsYjnmPmo3atm3b4MfTs9tvEyclPzyqB9qSOmulWd
nsvAUcN96nAbwYRdlZb1R9enzDys6EuS6ugcmsWzZYz2acwj1t9L4bsPs9fBQ2u1+Nh0L6nTJLeQ
5cEt9Z3oYBQQAGBjR3eWbb7ogQF7wxt5orB7HEBcEd+Lj4NSv8wYVBLYY3HWLQJnWnYRDJi9ZKSh
CgNLNK3F6woE5j+F0pEv6tE2LTzsMowQSS2/BKkxZl5LmAW/BgfZ8yURoMz6UfexdcVwC44EZqAe
HOugB401BcPEitPnWEIj9whKX3lQi7vGnJ7VcB6hdvj2YUSVZj8tVWQKpn1vcrPM1AVo5oQpvJIO
6clZA13kmcUdiIzLMMFIAa702Jndi9Li/5SbcXLQMdGc94KZCxcCvwX+7OgMUw6nYHYfx1TTmAp2
2ZNHau4WN9WXGbjRB14boA2LP8IhSj/UHJcYr/3hFj4Pt0QJnCVUUM86K52UB8rxXO1BiolPGAAr
Tzn40hsNcOzVSikVwJ4+SIGpzs2bnAbXyveoDvJrFpcM2WPnHDDsBh5CSgEQXDHvCxTTIqeweS/s
vcmQ9zBoUHprgAL4rw2npOHvITniP8QEWC/JHH4JkYJDfPQ0YS13cJwRgvuCNwKgfUg07i76v6my
T/v6J+ua9q4dsnM91nwmQQUmDpbWagJJqIXHWddXJ/y9yEvjKxLyKHKOr3oSWJd0UF5nggALvVU9
V+ZiPBB/UzvjEntjSLb+4MWzdw0j6zEmlbZPdWSVWjVH+M8AMW7fuaY+3Wtp/D6qrFLDKkBGMYQy
vJg0VT66NknD3wMK9GVVgAiyujvZJLzBcpX2KhyRTj+7wdHegO26SGMrEwsBk3FaW3D1edo3hyK1
vWdYAM6TOr3PIPieDcAIdh40pypOvpZMDJCvjIBWliRTpTqnesacr8wAaCrKOenckPmTkQJ/sQ55
0Bn7qiz6C+yI4r0z6+YywhbZS1VPnAa8cW3hF6o0D0yX+X/azj7oZfBjspXpXMTpfIfwx3M/A/Y2
XTt5CpByeQoarSYzjBSm0zvp0art6lxCAzcC2BlKgsRcxs9bmBrugFSwE5JkLIKdM4/ZkVX0k0Gc
g1H8kGVPXQhY7I/cfse0rL1mC2amXHB1IQiLq+k8RQtutDYm9QowIlyQpFJMevRFUQz/GP/TJO3S
PVteu/pWBlxXr4VOt8uKlFKAno0Oclqrq+DgnyYcIS9W+B43IAX8t7EJ0lMAndduDbhFw/iGUDnq
hnjerboaghES3FBmsmBwYwcl70VwQ3Z0fgpJcvxzcpvgBi7Lmo9MVvklsilvtFXBJbvIZjITQYKF
xb831AVoX7fVURAqlfO0QAqZy2a3ogduHTR4Pfi7RNGWOAKtAVisI1mV3x0lPyRqgEPuD7MfQDEv
F65ZzihbGz7R1hJ1PgpUURrHOZuyi/SMnJYrgyxi8Pfx7XIS6aWF6rSznSw9yK9M0JomAYvw2eLq
dw4a9SwKI463h+Q+XMFwfu+W+zeakXPJUaOWHLAUiVx/2YxZIpPSwvhOqllWncNS0fGfWX5TDu4z
wDvjIn9SfgbOy2FUDYiT9NXRK8sfclw6BnDMl9u43mFpFLxU7pN1sRbS6NY2lnp3RmoFTyZAHyv2
V54GaLdkqMcpHY+qXv8heGApBmDUXQ2/jngqkiNZNdiYEVVOyhjvNkdJeq84r1ANvvUwF49eE3JH
bSRET23SvMm9txP3aSDuc5prg2HdGiL09pi6k94qbqnD8q8N0WzbbhrYYR0IdRMc5HbJ3ZCtEo/P
ZCeb8hRYoe6TV+52XtHnN3wdPdBnsrkUEBF4NpRzhdc7Y8uQzAARgDljNYwR6C+bcrSDIwVIZNfI
b+vmnPagoezoIn9vbBpi1M0hbpOv86jf5MqtVwlq6a6w0ukg11quStIWrP9bDfGVBQMg90SOkC1p
Wx8HqUthpDiGNF0IRBPRx6F7lRu/PppyabanQfbURD53FRj2g1wK+ZF6X3N92qDQ90TQmeVa1Z/t
YhuC3OV6fc3c6WeAV8YpYzbAU/emVXkL0zY85TNE51afXvVl6JDPdhbbznkOZpDA2PHtVOicKOE2
6AlZSV78P3/4l98gm9heQXbXQ33tud491GRwKO0N/SBDgHzfO+TGLzaArPE1hcu7XtwVTvHLW/ML
qOLzFTRI4xURrMm5ORlhrs3H2A2/KV2mHrcrzCB40x0XSvc2uKj9c4aJ5Ul+S+9XT6k9qyc0Gvt5
32ThfTvoCjCPZRxaXms5Urb+s83ryhnhgDA5yJPQx+mJKQxLl+VB0EeknUw41tvjs3Swq5kOpr4f
kGC7yBM8dtZwmXKLZUl1zJ0B4yN3AVf+59+1i/Tqh2CFvdwArrAAUrZnb44fXH0BMBqFXS/yNgxv
y7AsT5JUt7aC6M8yIln67Bx9pxrArKTPTqAwRkp/Kba39ZdHdN2U/XPlDRevMffyJKyHYCtwVr60
DQkCGQtZsDdnFLqv2xu+PcvSJtVgeQrVvj81gPTOoROdZJ8pD7v02I7//AhKXe6abK3HSH3d/LRf
qp/a1se2rGz776EHWzkS/Kl5DeDK7VLgMUUKyK23QTgvHw7dg2ga6CxUJ/2EDwV5euYFcscHW8cY
1HnK5/bFYW7A+vBeJ2IxqwUe28lLDihlqLs7a8GqzmP5kg9udzLNmalEo6sHNSiI3fQIzOxI8J6E
dzDli12kOQ/1IYjKJwfz4u3Gy1+V6vo6bXVp3B6TT4cUQ9peeuwH5WGUol6Ga9nSE+hLZgznSa6+
nKQAzziBWeGx631o9Xt5S2C10yqbv7QOrvFbbiGiJOuWCdfgI6S6323hUoRcsC5W0itxcKgh8YJv
GBP9I+qBuyNjcpRrLIXc9niZniCUyxp5Sv/MJ/3mxUZ2UufxLjFLBMq87iKDjMao3cLZLVHPPYRF
sH4BjPYHpPzsKieUOy9bjPTtwoaxo+HHPHjPmMW5K2bZT+w3H8+zUy5PxDYYqJrqXDlu+316O2qH
foJ4v13FMnMYSZPlM5O5mXXwLehCQiqBF/AbuGSDmbiH/Kh0IbcG5cRAF2XUrOOqYyaTLfC61Xly
nesEMId87hl6JBrFkb3PcAxbZ1frKirSgoKcm66tgzBc6sfaSIyTnF9+l29H47XVn2Yjb0+qabzI
Xd1urWzlXfc9NqZoNxYFSv9QyP9eoG0DhyLffqmvEzuWpyWONCwfwPgftczOYee3+fCAILt5AZpW
3YS1M0RddeNZ+FmGWbbeX7kT2xiz3Rg+0H+l0DPNyasPFgRpZDEcA4eTgpfAZQQ/oBB4LLlkcmfk
sQ5UYo8W8GC/wDfkn8FcOmwj+nYn1wd6Ge+3i7DtlS3p8v8/FXO1EfbSwzbUy4+R6joX3+qytTbO
EbYfTGgRZpCJrtLZFxWPRekif3adcskmDpu8ausmee2/YfXrh1J+5y+zjPXYMnf3wALuSQhij8GH
XuavJEcIXctrMhfIweyDyfyG1grx5LBPLkUThupRuq+b/vIFjQCDdEG6zuPkSZUZ3VZsbdOckXLQ
UIrUgIktkzD5d7ZiRUlK/Ze57Prry3mEifMwFui69Ww3wNNPNlmqeY9eb0ES6k9XfohZ33RXV68y
LZNJnWxJsZ56mRZKlUQQmtcBBJCts3TZqrK1Fdtt3Nq2v/Hp2Cj/6BDqYAxjzJSBswMIkF+kLm8e
VzxhGb/sX3/8XGrFLlIG9ZdppNzC9cmb/wgg2l/lcY1Q0gU0vdyDsOuQ3JAn5d835eh1qAKU01zc
Mj18poIEMEW2JdwnTogQPGTvtmNbA8oOKbZ+Uh3874NW59f11y9P8kr22N6ZdT6zPszS6ul5R/7k
n/dOttZesvm5LgetZ/2l1+c/8PkoRSOx0drv2ozUrIwr2+xBjv23tq2L7F3n2bK5FXI/tqpsyXH/
edZfljPSWzp++lP/1vbprJ/+UrAM+BjN1V0Io295xfFwJldRzetaVV54KQilQM6ERsTifQmzbcXW
Nmd4gkK/o0/VGmyunWS4lZNvXX/ZI5u+GYAQIgW/PtHyssh7sr0s20v1n23bYfLeSb9/a/u/nsqf
84XcX8Sg/caDi0Mb09plLiwfrq1YV7Jb/ZdYxb91/9S2rieW065/Qc7zqc/6F4bEu9eU4afaeeFe
hgZZg8rW9o2WMWSrytY2Ids6f2r7VJV+fo9gQP9dq5FESAobIh8vJ7l3prfyCK+b0ir1mVA2y+qs
yk66V7xtwztgKmjjW12ZFxq51GXkZy4UEFGyMstdQ0d+YLXzXoYHov9IsjYoA/9NV1sHDVslhiCj
S1HOkDARfzv823C7PQqOLPq3PttjsLV9elykKnvHoEkJWbgwvQZ1Ng+do6fzXta/CQADwkXJ+B60
Q3Ra33i5KFuxDqtbXS7Xf1Zlx/bqSjUgkPL38C31T2eQtjlLwE5oCa/RNtivE+t1v9yf7cgGrxIW
b9nVIjBiLBGSX1aOWzc5VgqZGGxV2frUTwbRre2Xf1z2fDpk8CrlOBsPoAKfa6gUuAZIDyLlhgaS
Y/lwlTjitW8ydPlZkmUXuTJl0ufZZVadXZM51kVe9u2Oru/+L8HMX6YKW1fZktsbFT0RvbXTGuTK
HURPjDhCJkVHK3uYvZJ0DGou2vQor+gap5QnYJz1uPlNXuS/o1q1GhyxziZ10pAczPPsmiARDEsc
0poUdUO2crfVfStQ0D8LrV256A47s4UBGQPyFvmwdC04m7p/J5xtiwRApKJdI1dV7kudQWXSq+K9
jOGZCJ9cX27w3CK6067xzE+XXy7qL7doXbquV13WLLK5vuYRycnZM6ejXGX5s1shP2CryoX91Lau
6mTPZzLn1lN2b/+SHob63sZab4eNIVZxQe5/6Yp4PBsIAR51GLNUoZ4hQFpc8Zlkr6WTOzMcZHqW
vZ4HzFNPEryb6uAt0rKztpxDTersoQzqdie95i4bL8pcmge1zwDpDUOxayJedSm8zDX3tgfAUwNT
dJ8m7kmNQis/IhmE4TIr+yNRSVDDk3Nt9KB5gpNFrhnRWIjnmYN7Uazep/74viDaXwNkYF/h39QH
VONGVDmoSluG4FGWkJ6oR1QgYrtKX2PPQVnQ7B6mGC0EB9jCSSe3f/Ysf35Oq+Y7fMdLb2rllzE3
cdVK/W95yZS8xgf+5gcqSPGsee+92frDI1pPZtcPSDhoLeo4w7ALmrr+Ws9gelmSlx+6mtp7FHWA
V0XIdqnFYgtgEkqec6tCv0lVDxUSwShDleC4MWKsHsdlD6EkzAQGHAXCRDs3hV0+zlNSPcqWFFlR
OOie5TnCwgThrSIODmWF/JA/Db+bJM/OrbpI+WVqZWBHghLHYQkA71yflVtcxKheqxA+DR8jURUF
w0ObFWCCvHZgPdwU7g2kBuk1j2B7i+rX1E/R87AUEF2iZ19NviGrqVylqcww6UZ3EVWuAuEzwyJb
4wTPDWrYzyqZ0OdU0bT9NI4BKwh2xLYHtCq1uZY5lqJ4yO6mYegetaTznualqDNgezbPFuxqemw7
Qj1L91rp4Io2kJ0xJ8zmxlFHF8b/a0qi+XGtgeZA+dfhmduOryLLe0JlJtpXYbtD99Q4OpplHqap
ydF4A0xfGJp5sx2gzsBatYNu60m7wwoeGQwcwEsvLO8rqHb3zVJsVZ7Pc1IQQx2QNrLhppX6LZ/N
1NhrpqHdpCim4H8bi75S9pMHy90LU4LNiBq89z6AUdce+9+TIf/NIJUOLhy6P++WCZ8ZZCJohaJC
Jaaf/yLd+TXME/33qUlAKyCI8x6MGbBrdLCeZo1csjUl1l3l5v1N7+P2kqZx8cgt0KD8t+prMyo8
XFlqPqhG/16jGvTgRsnTYFcN1Felfo17EkcOYo9HqcoOUqEfyK/nx3rc9Rh37Kale6ylmPLFYLmW
48hg0+Qo0G4ZMw6/HGzl35x0Nu/kVHVjao+OF14gh+HUmSGLduKDUx22X9AGyc8wnJP1vLUxt09N
1x5zFVmbvY/Fch9kbxgVzgTti4a1sm3eQbRoXuGe94+Ejq9Sw2i3fcW0DjJUNiLWtPSQNscoPx+U
uO+qix4XroEAtaH9ELFYNhUYdPfop/X39UBYuUxRO5EdDkoWV2QwE9BsXArdVNozYpvaXqpyebJU
XT5VDpiw5frY4wjQpVomevHZHn+u/06a5P7ZLmo4Z8v1Q3UaRF42efjT88yMg4lyimxKUQUzDPet
Lk/b2CIh+Uuj7JY9HeSOw/AEcAYEXjDswHVhqVBWDEp6/VtdB+Glt4cAjfew+laWJ9kfD2F9SnVU
m6pZcQhYKy5u4cQDr00QBffdUgwJuieu4Z9/2dH3KXYyXwLfjo9QGOK7cszwMFwK2ZI2k1U2lg02
imqxFjX4Df5HRzlk7b0d3Y2YA/5fDkndAXyFqp0/n6btCkRuX8bHUiUauP/066S3/JGpKPXmPm0X
HgVpR9NqYcCiSPkQLUWOwMSDVCffR7Ew8gfI62pMcH3ZXaool++2TrKFg94dH76OPDIHxy5RlbCs
PDwxJkW5Of/D2Hktx4ps7faJiMAk7paivFHVktcNoSVp4b3n6f8B6t7q3bFPxLkhIMmiSgiTOec3
x/ekI8WHLLXs/ddHl83lixuoozsTEPj3R5dv+8cnUlWs2wKBxr93zL9qLCKKHW9Tbrwk2JOiXJqs
5NiMZXK0hhDBiQJ5s03JM8pkK9ZxHij3chH0J0utfmeBIt/3Ri7fq0F1aXnAXshNU+kCdJC3X6fB
/zKrRj0aSEuerJRDkcwpzgk0g6ewlJ6pR/bvlp2i8M9eHhnXZR9K4XVCQd2vbO45VE9xr4gHxQvz
RyXeL11456T3cl1TfnkJqmQ8db6SnId5AdxP7R0RV6wa9eTwzEaNN28ufSg0JZHjWV9y3ONeahG7
pHIpeUrtCo62ojWrZVPr6n6n4ZrqFkKHiO8Yetv9wsYKdJE+qOuQgsqnusMWQaZebzvXVz4hBStc
I/XEbsAy81oYwwMSmvZVL94nq7aedclqDmkRgk4y1Pa1nhBSyKaeXYHowNINuj++aTSvSLZUd4pw
ETdq70FBfAbDtunRe7IWBc16whqWeuG/myiL/Gvnv9pU3UQVm06norerNX5tBYQ5M39IJd041Ek7
wtzu8geViulfWL87y04JGdsDCoxnKnnl89JkeDX5BasvtsvmAE1ir9hjvFo2q8gS14ks3bK1HLHt
5bMM602lIvrojxO6hFwPtGMFK4ay6MqDwmZkZ4LuUeuixQPrCVp2XXq9eVj2dI1nr4XS61x3uJ1M
Hk8egDHhUyeX3Yoan/CwbJqhbCBTCLvjsmlgRIQPpOqdls1JGt8t3vmXZWvs0ivP6+yqReh7vMHf
BWEv3ZK0kc+hRxlx4GFX1WflFaHPGuxEdyvs5jGOGvmIWKG/qWrDrRJBlS9j67R0WNrhIm4KqUov
S9OyEFCOQoMChqpVMVzNcY9NDf+2dI8oR7tm4lbX+cZqrRLDwmoNxrw4GqOZH8OWYrkZFlwcJZlF
3ZYWmFl5dCO7AzpuhPVdoJhYgY/6A4Sw5FXWS3sNN7PYLZvU6CCpV/OnQgwgKbUOLcHcTelGz4Hp
h6omG3BXlhuE4mXyioo63VKOb25Uch+vhq4dM0vS70WQmuci1hFYzN2aUf4aUUvuebUpZ4Z1Cm5E
rFnzYlISb0UEr0a/+3fbT5dlTZear7JTle3/+rzaIIBpjeiuGqb6MkglcuncAn2HqkvwJvrKZO9R
DL3xVJsDfKBMzU9poBmQjcsERVw/PXeldVu6DlpyqkLNfqnqTHatKtLPSWFjwFJV0FLgwj5SjvQh
Ab9aR/nKQjZ0kgtuKmuI3lsFgZiuWfWdLVr/IBlmvA2TQL6HqlI5y+HN6UUu7PqjJW+EjEhEcBhH
bUfMtoC6W+g324A5zu1uArZUMidOqxwyLoyqU8Ez9WQUgdt5anSogJP/teO7z7K7+GmljgTxMxh/
V558OXKX/QG6x9NytMi0aDRKyglLU+y/N5fdqq3Ew4ZbO/zu6SvqTRexvpWNntrtn0PopjgayMsP
ZqBL60TJVWypenOno/fd43VTnxRNmBsjTsfriI+L2zVy/cjdKCP9scw3xs432DzSn9p+sPqYIemQ
65vbvdHk4oOaRGCRguc8Vx83bRqbFKn407oqy+oSqU21E1rZH0Kr0XH39QpsCVoTPhZiVR58VGaq
BVgsr/NeI394jEMhfUkoLb+/KM0UUHG5/jkm/XsgSeaLYtQptGNlug8M2OAMUfw7SqitbTpDxWXJ
S45dEulbwgHJnUUpEBrnWid+xoPM8KbglQfwG8WH0qfq44OMOokRNoPw2LfEVwoZWW27Bx9rjrr5
1bVoluEU1w92w5yw7UrlDt1GizwHhyXqrkyX4Jrn7VRVw4NqMGekgZzgFqe06XFZM82KFCAIhHMb
g3XBv+aXYvb2Q5bYL8oYSWfR2TbnAHxvFSTVYdlsNchzmRm1ezXqAFMpjMv2bYHULa8t+9GnIN0p
+0A+d2XhPYbV9KrqvnpZtqZZAW6q+t3S1VbMY6jo3nXZCjp/2yRF8kvkqvfoTeQSc72+LzTTfPS2
g5earxGvym0zyM3WbHr/LVe3VV8ZbwWKLCxzymrX+33+gs3dqtND6xfzyBMmD/ml8iTg+T7FG20X
KM5327wjzMk446w7V7IMW2BHIzcR4DUt1L4Wu0MdmFpg+u3jT4daqzS3NFp902MpeGnnBRfG6NZ4
I7vL5rKDhG1+qSfctrCsPiJ24pv9tkTdgOGoQ+wuv2jzwgDFe7Qk7ZyZ5fSLKMBLW4Tj2xjOQo+G
eg44UCD3EvUlmvrxbahCfTXM7eHc/t/9LZBLP/09y+M4yNNWtW8BfPv7+D/t/6/j/3f/5XvVsqdy
2xZrkenRqmfCfiv6sbqpplC3xtwGLqO6LTsyJr/fbUsXQJH1rZjb/vVZ3pzgrCR7G6m8E5eFPldb
2mUtb7gy0r/aZOyj7UxsfrotO4fItp2qot7AL+6ktNEpmKTma1Cq3l+b3OtuB8fGTQclv1sWg+D/
lXdPqqPU5VoNYvnklxTi8ZBaNiC0y6dmXiybhiZRdP+9nZZux3QN1uPfe5f2n83lE0sbbLtjFiJo
+2n6PtLPdsJDbxqsu4LT9d5h/wGRzH6NqWfioiqyve1RS6oO5q/R6Ox3DQAd0UK7v9MtC8PRGN5K
nsgh2VeqiSk83teFtNFUe3qGyNBvW466AE+fKMvaL98RpMj5urLRzzhh2xevVUh0zcfGvOJO5aw9
ohvRcR3QtI1aN8NBrQKY3bPhzuKo822uowc5xblMvpYdy6KD1b22EFlRid6Ze5GIArhO491SM5Zu
AKJbV93Z2IjF0wTTRYMdA4TcFA5DEOpioqHaSmXabZn8gcXX/pSieQMx0j+HEU7wcdt0d2HdKTs5
atK9NyTiEvgqnhhSMT0lQfIH0WH6hw8H2MEfJCGgY2H9e8NPZqsNrX8p87q+5fNCkxkeBjm4xLmD
ps6lSDWSDb0pLkpCXTzIZHnd23l7Wfov3TB4WmMaOWKABpwmnj3ZkczjJdvFNx9YB75qdXIFOoRB
hI4xmtbKwwYftOqi+228LSmtOccpRRXaIKaTaaEspjreOJppH+5zUMZHW4T6nrBHfrDHqT+k5TDs
JTksjqmWY+zjdeEprj0QT71pneJixOu1IkgStrG3iZpGxoFBrjaWnQ8UugJdBgDVXclPFOskMtub
B+0JbjDaQZ44qIHKrrufWqx+MHceHkIdPHIrnK4NCEr5ufxYk4NeBYOsPQ2WBcsb7ukz3jOdU4bj
cPbwoQJBnSVuOQYhJCz4cbybKPjwkul3XFtrDz+yF7LXNVybcK61n8J7tKR/QkOefkux9pvAL+Xl
uk+g3LfUTdrwcvZ6se3mI1gR/h3owAosHgYmVMYIpBOJye8cXaLaincbrQFTwLQ/wkYdrhVG6jON
fwK6Vp1tfWxBIXMHMDMqdmmtAJIB3jdcImgtDMqHXSak8MGTbPNiKlTTLkbwgegoudO9ftcl/fgi
DOZOiuI/WDl3ijJmOdgAeXgJEQCu/aLvdsun1CjeV1qvHDJT6V1iifmBiqCIqeqsDNZtDDm8xvlu
EiNAxKXLsvaPRmPeszT+e89P9yFd+IR8wc9xlraytKhDI4G3SnEMvOhFg5VjI7VPLQaWh8GTU/AV
nJIU3jZxy55Kj3kTop29Hpscn8t5UxUjRUtCz/fLppdUikN1YuRg8kCRnGEyKZgXahbg91SIsTgO
dlziYMHasvjps6wtbTiN07tWkSj1GWqs/4/PTQCjCgrU/+vYy+Y/vtrER2DPSMj5R9vPR5bvH8Ji
OqTJSz0GwQPPXM/JI1Pfqx61FV2m3cu26W21PpBWU8a/2bTz6GqU+W7ZWj4kNPu+aVP7rOvSDnTR
dLHbmpLCJmueu8EsHa03/ffGlx4oKLI/haJsMovHARzwla9kakgHoLxtGv0hmHEHHST6XYZVxGun
bl5mu/tVrLfFmTj3UQbifqZQoDxnShlswJlOTizk8vyzY9nLAOuvfgJLnrwxV3L7hEQG5+b5CMtH
lo4/m50xmI7ZV+Qs//Ml/zq0NMTUC6neU4JGFWDm/CU/B1g2k17ekfyKDq7VS+apHXwMiLAOxfFF
6gJKSFTzKiA5XhNjfvoqOQoDEVjfbVT6YqmUWDuTUMHZlDEuiWRQ/9+bcxtO3f05nBdLGxJMZY0v
GlmQee/PjqXf0lZWcroRPa4Ay2ZjaNk6BAvjttFIeL+sfocULti5XL0q/kj5W1eMT2bBpL0aa+8+
m7LORSrW3dQ2goZpDumdpQFViYC4nUe963c5qloIjiGafWyr9npiwwSZn+K9KYeXLJHLTcpc9yrD
2iViQPQ60SuJwHqePvLrghUxb+s5NiCg6JMQb3iKvnh1YnwUuneQCWT6kHCoa4qrmKH0Y140Bvg+
ggwkNNo/w2ifvCzLP7Q6epcEUWqelgjoUQ3peocblgC1oIP0TKe0f/SqvoZpzgRi2TuYQXEMUkoB
l70ZFp4nr5tqZ9kbJUGK5yVMuWXv2BjJpZLEWzwfiYxHdpdU5f2yLxIWMSdAS4zJw7uikaVLhJMQ
674+hXfL2rKQU/91UuVy/9O0rOGGGrgRPj7fn/rZK5upuY1IRDlLm1kH4CatmrpT4KCrn34/3yP3
6bkWuXHwJpW+U4QrFZVI90NsF6SIPJInSqIcbatVjjJ1VNSsh8o2mUDFLDuWxWBBDVpJc59KksZy
8/MZxZM+iqmAbPefw/yji25G1JAtB/85WodNx6ozx8L9Pu6y20sivuIfPSdDklbYYQlXM2wKwebD
S31FiSAVrP/44LLj+yuXHxiksrexhXj6btOWX/Dz5aMdcwl6Zivv66Bx/+ff9NP7r+Mqn6kPt+H7
N8xnYVn7x4+df9z3b1r2fH9pW6R3EWBXSsW3emPJx3zutnTwREWYZ1ld9iyLcTn9y6qwWtAN/W+b
jNBZavsNow3s1Ib6XMdhuaowsPBDSs38OnvX83qEoYemsZP3RuBNW9Nuv5Dljm4CWFEOPzo1xjpS
GPhR2PDB7L7dB0nzWaWevWHMdLRAmIalGrqKMc4oW/vDkLDIjlpHqniQA5oV4PAtmxhjjbuVVcVP
zDN3FOE9irqznY7bDq7H+FB5JeLi9lHxBw5GmR9E7PjSyfXJjKi/LFE9EdBZJ0S3cqG+B3l/ksh6
jjmWiCMIhmJO+OUSSYeYet8ddcRMU+34GErKrWpi6SpHTHkL/IyupXcUjEWwl5ub+qGjTCqJz99t
CiYuzpT36f7nUz6RPDetQC7hmypdlx3UoL03ExVXZdNRyjnd1+V9nYj+2jMQaswKFnrGlLyfkIwA
L4v4If6jVGCygkMOtgdla0J2aAZnoNRU2OgN9eTSKQMOYPNiTLxb1VPHn+ZH0+91VP8scqLFK2rM
ho2awxpb2jIIDNsJlzUCpn+3tRMDCZCm6rbERS+3dO8unRfgKOzCLK+NAa4paeDiDIxhrtO8CBOt
2FmjOTrLJk8Q7RpBo6BgqP5u+mmvDfEc6o12WJosqVThkg0TdqF1vl7aloWmeippIpiNS5d/7ICY
p4319xcvzbqak98d82y/fPHS5gW9Y9iN5jZjRcZ6/pHLzjCWs6NuACCcm3TC6hfTlNzeD6JbXqxz
CoKvjaKEN3Lmf4aw9Pa9op0BkSenAbOq67KwJlj/YK30zU9bMnYZJm6Q+WNZiiRKGj0Nz+v2EOux
fiXYr39/tg2N9ZR7uB8FTY2LlsWkzUvwGJr0wtp+b+OQVG6qPBErdL7sDwpdPc6D56i27iab0UE3
leSKylZcbTuW7vTw6M8bWhj9tRj06rUlankYRTJPC6n3wf0PYcZPvyGGcpRMPHqXA5lybuBdEV4x
vGsvRT6631fUVIQ+WuPGgYpc3+VV6t8EQbKbGuX3hecPx6XbsmBIpjrYAhW7ZXPpq0BZd/US5fjy
qaWNioqEkoT4zBxuWNmyb1+TTLOvcLmng6a1b75XQQmZ21Uz7XCSihwvsqj8X7pBwNyTuQ/OSw9G
flc5VLRjOHH95WPY7CTfNq4Ui5pXHMTKtRJYeBkMk3lddigNcE+5IDmzbC47AKaIS5kwYMR5Q4Ic
GzSkkjVt1YU8f+NOP/30DYidYmZWm9tELaONNaKYAGcZ3AqqIVzsWeK1ZkJGW5lN6W00W4McDr/l
Buo5vImmpjZUi4kfDMRDLS3BVGj2MlkWjF0m3LJw81SngdFG4WOHJ2EW4s2kPg/w8F9r8yZ8vees
wcsPbw0b/d1sreJhDn1Y1rBrTslfH5q5SqidJYzL2rLoF6HkvGBSi3ByaQRd225tlYz3EAF8yceH
4Ft4Neu8ZYbd1YusToRZGmaxc+HDz4IxMqUOy3a6VD10In0Wc+FRO1fSVPNPwJuIyiNjqT/SS8Bu
0CAJCsDdPSwLtWyGCYOjauZv/GdVTeyPMFZhYNQZ2Mdld9dNVIguqxHYGZD/cUSaA3A+STsoe99n
zBqxIInhjESWQQpxOYvfu4G9HOeozBb2CXYHVJhRviDW0qhJlNi1X2MrPj1oEUlebgfsv1xduffx
dTzkbfdiclqPIXZgm0YRb8Eo7PUwq2pjDpPbR5446Xr5e3/O9rK2/AfIYQVr4XOuJFzSjnKrulXs
i12DUdvB0PJibzBJiMuociS53fbCeEz4q3V9oEKfog6Z/zCXgFIxJrcA0k+S7kYVRcxzUVo2K67N
+Z+1rKVAG9YlWBDeu51yqCFb+KVBoksrIPHFyXD6x4mhRJnzZtg1CEVTWUlS6hHvJ+BWBvqHSANp
remnvK+GQx0Y/fdCE+Fw8NT5zKXjW6qo5YGS3/JgZyXQ8WU1s+xOWS+ri/XqsrYsYtMrUTvZ0DBm
7Xw+27EUWkmBDoOO/3lhFbaZ7cMUEMBcIzr/mcti+YN/NttUgyyj4JvpzTVM06xRXE5HvtScLqvN
RMArS83R/fnPLNfpz+ayZis99lYU8PLwzuEEstBm2d/PQm9FsG2Ffoxn7f1yHSyLcN7sSXFsprA+
LU2Fp2Pu4FuMRhZbg25xNDCkjv9vl+e/EqWucB/VMmrA5qqx71WzVft9DOSLInnO6cyHKAU2Bsti
2YxCKMRKKP2pGFL2R4whG2eqzQ5XFCkajqaVuxo2XU0+jI6fYq0b4E/tylbJLEaVvS2xn087GR6U
YgbrMh7BNzbHcI5S+pHU+VpNO+pG43Oal4EDo4xE6VQEJwMtzNn32hX59trpx/SSKrwiMrvUXRvK
6lEumxWPjIIUOpHFomz34Abmqe0k36i+V3dTj4OQYeFJaz43VZNtBEkYVOxthxdL7W/CBiNKkTlS
l5IfQSbo8sLloRHdCVUxVqMySmtParCF6dQN7H/wdNOjJpJ9VhTE77AkCmvxWvYlnoVjsgG/FK51
Cv3ypj0FfiU7vBypTA7y3K0pyAjaE+BX9CQRKV1JJvXqRwRVqKVaAWULN305e0Q3GipcQhQkp1dT
ofb4G1u1W4CoqC1ijd3wpzY5MVZnY5XC56fOPvljHK1CDLa8LJLhmmJRGiqEqzsZ8K0WQcfHNLPs
/kQeFdkySqrVMOnW1oN1IxXNrlEDTgIculAYnGkRUCte9wJdTP9kW3PoEiNIxmP1p8mre362KArs
GNPYZ/FWk0YKgSX0/m0vbRlRTCvyj28MnoO1NVK/X0hGDJsImY41MfYU1OZY4NGQb/KH+5k97mLr
NoBA2pHxlE+IaXHPsHBgkDP+0QVVutTMtz7AYMu3ZLy2WgFziqqnQPrTeHjLVMN5voLUyGjOSTB9
6excZTUvypJJtmR6l1xtP8oUOpLKLbpS+g6zprEn3xiYOObIkXAJiJ7yuMYB16BOjApuNyGcoAmK
wqdYTlZGMyNFYC07g9o8e7wvXCivDr7M+IOmpHAsvsso7RAmxNStUOWMEL30c1tKm9SvvdsIcX0q
rd9FgqueL/vvYydtGouJYK907jwA7AwtOKKV2+h28CnBYXXyAW9iZZhe7JKABQFIRfoysUiEa6SF
e00hkmdH8g3igrXSxsT1gu5hVKwNRrjIRwKkWJKQybYyQ5Lij7hU2s1UDq07BkmxkaynQMoyR49S
b10lGfGZLtvohpSfpoAD9g2RwVBR7vwhakBTjvtWfmfmH6zs0ezWbXVfx1i1Vvh1Ec9fG3bxqjQd
eBYASZaG6XHTPaHI1YAdRcEKF8/UYTSorCb4q46NYarTjEPqRGaw04UkOx3ILiMST4DESoFIEsxX
wviolN0swn3FghgqK+1O0XydfeOzb3fvnl9WQJ3yz2h6mdQY+FoSfCDOTd1afcRC8bFDL0nWBVpq
f7RBps65jWZoLZdY2zC2JiEzRMCGp/4hfAPCxHiNev2SDyTtE/skVLqlSn/WZEb/PNOjdYfrcFPU
J29qMZDNxi32vAbuslmwG3/jnE28+iHO2jelxVBebsariBj5t9OM680JBGKNTqJP8ITOgEy2aIYB
G/pcE6sqbwGCRe8dJ8mpCkyBJU3aFwODrEAo5arZcu5lNzEJ+GMpcNSKTZXq3g1vw2ZNaidaDaX5
aAypq2UtDwIJDG2SvOBxn7iKTcK7rprQqev0Gb0oRY4Nc+ghDvFLQr1pVBgJzz6xKKOHdS0lT8D8
b6DTLKd+7gwIdGUYU3ff761Q/cyl+DMN1Y+61DALrCDzy8yhiHBvs74dN1ZKsiBU0LJbCTqiYPRf
FKKgQwrsrx/zezkqL+UcqMrGORH7pdUm1gs9PzhAKlt3woF7V60HyZjLnYu7LoicMDeIlsxC3dIf
9rnCSyFFI2QA74P1wlPT8FeRsq/S8M5EiOEUSX5J4/xPqpn7sjTe65CJ1yCugZWkrpCTHUIV4kFe
g19L71FXb/WHBjczH1S1W6JAX7daBJGn72LXkHCjV6VmdCQ9G1xPkz4syEaB1yFED7W1wFRKbUxj
Ow7VAzZvpKFTsSUKsNUnIplB9pgN8kbg6r2xAgP9MJqVUOcyk/IXW86jQ7fyA2tmiP3qtADaePI0
Tk3iwp95CKrpIx+MZzUfb52xUlOj3Bj+cJ5Ac8YG5Lka/0nFMM45GGsrr+EM5ioZNVHvY89Dpm1s
+1ByrRCv+9cxLN5sP3kwivY0GGga5f4paJJdjQYnHrgmoqbegGQDTdOdAsCBCNoAo1WJ7sYFM3Cp
crWK+xOqvJ7syjrvCeKOMOPgQwMNwLvC19/GZnjDmzp1zER6rC1ANk2ovtZp/NGD09PK4ZX6si9k
u+hite3UhftWpA8jZeSrRM5/FS3w8hAOUxejqOZ83AtMxLY5aQA0fxqxo3rakoAEplbv/ba94WmE
h6BFfLxvzK9a1KApeMPisY3VeyZA/gJQdiTRY3kpZ2CbkpPaZLcYNI+jTL2+Fra9HQx7/5rWAPqg
De3zQW/g7ceI5UfkEQE+mrixHzHFyC/UDSPhM8Gmq9yRhUdkh6hwo3/IaXOK5f6l5Ucx9XsOEWFA
+kye7Eo68uS7R1xWOG1rcur9i4Izfa6r2ybqd0Pubepd3WebmtPCQ4KZP7nDwSG3FzL+70EBm8Ul
JEq1a/BTk2uMxQb7FOewPlstJp+SbfqQu7e3vK8kwUI5Rp+WDdWz0TYn1W6urZWs8HO4FY3/pqfM
Gykhw7qhT15Naurhk+bditQMLg8C68+Ja4OMANj4jGFDpfSMaIa1pckIjNutYJ6xt5kt5+kF69GK
cUAoE6vidmmfjYag8pRYgwOH5y6JhtopTYiAskBwpKX+Q24kX0UzVE7aJL1b2i2OkRQdVoG872T7
l6kxiBwDyNmZ3x21mlF20XpvbcN9N7XqxgDmbdbdWSN6BzkldkHcGVJCNrT0QIminQK5+wyDEKGT
TwhNI3ZYdRon2eQ0Ynky8UBXUrdVTZuCf8tyuqhP3fS+TmFEdbEkb1QNZkNdhb8wgG882Pa84BhJ
3uxPeWjbkwKIjNmYvrO85kESI9hNu30TDaTxUQrRvbRvVW1v/A6kaB3iUWzHtpsQIqhIcCQI491M
lrh5GISVIlqVPhGBVpZTItbxLp06a4/J5LMZAu/hDd52xafSMDYee27PHL5OFJ6ElOMw18NQjLhc
yvCXwuPHpToJVRP+PVNYnvww/4PJaOAIpSWtpD16tYVRSfZbgVxnTRVVEgqOYF5o4c+ZnVu/PBoM
Fv0mu3Q2SUP8RUBdnSkgemKs/WSRtFjp/uwVoQ4fo84MILa64WLZvGqM0Y2tdnYY5G1uYCAV1XBU
y+dYLbk7+pVRTfKd3qUDg/EkdoTFGMxI0G344Z+OeHZz1POZkKUP8N6G/lHP+7Wi6gMDK0wzQhO2
g9FepX4o9qEUXzWfATmetJmqZ1uNyFRZTj0D2qDbUqSt1UbqEhB6NAL/N3wr2Kkxmr1AKbkDuGik
PwT93sM83nuGNuAM3JCtvKQFGDMQ98JJUNvuJt2v3Boipt1Hq2jSz1Vro01tv3TpgNXyKcSYNSMI
DfAR7V1crCllvEadEBs5K1+BLBzabIL4nM+I5rdSYFw92ArF+nnwWAiTkRAaKIsggVPKPuPOPAQz
iQQ9s7aIlnSsIc1+FRkU9xgjVSH6e9SCgOz6Ec92Q90IbXxQZeNURtyBAWc4FphKkJX80k2vc5MG
4nC6DhRjGxrD2zQcUM48JihSHXxBynWqcJ6wEr9QiYFsZGK+blCr1IxzCF5/liDzzdq2FfSQF7U+
SsrGwPDIsXXpXuRi0wG4nR9SuQMHlVKoEQH1dqbL4f4R82CTtCPowNcu0H6rhjRuPLUDlkwJKURD
pqdJAt6OEaFuc/XnErUDDEywTQyoX2GM34QBjKRY+6MZTeYYA+F+HWoSz01CiDp4QVW+hZasQpUz
3RiXU0eyuUpMXX0n4PKFh3Jx7GKy1iqJ+xGrolhVfgHsS12kMhRQaoorx7k+f2AdEiN2VZXEvhVv
hQ6XVhmGnal0FuOAqFiBmquhpzQvkVKCo26OUsjVllfCqZPiMUoyypGMA2BMd8oZP/eNjasvQQrH
SIJtj+M41M7pYiBhL8TnqNgfRTpFLkK2gsu0vZlZ/2rW/Qck0d00jitDVd7yIdShJfcgeim+8IZK
h0/SZyvyIHIh7rvYvLW1RVlGlJ47qyWBUsoksu3XSG9wtE+1B6/51QoZVDcMURzEcNyRTc8dguyc
6OIkFINb12/wcyKPUcnmXcGso8uz3g1C+YrhyKPa4Yppt9nGD8Zfgad3aAHNGwkVDFwiD2bz9GLZ
vyxDQiSiziy+tBlWTRMxwGaACb7OdyM1d0cotticO13Vkm8ItlKRnbPkEWyeTbLT23FNrqoi0NZD
pDAT6xS6qmG2llRDW1mH2gfYSdAP7QLe4HaL5iQz130pv0hJQqqlVbfeAHNv8DDDS8CglWa78rvm
IyiR3uvanvFFnSUMMHrT0RlVMvvq7+R4z0hahzqc4FIV2isl7wy+Bj+ExJZWHtrcrNSUlWVFn6MZ
vATkKcexTVdSBxswstVxb47PuQiTtaduE0FCOqMOlRpUf23gA5OL9iXO/DlCzczfi/iv2Ua14oVA
rqRSiLTiVydtI4pIRyN+HAbe3jqu3puiZ8jRGQ1pwpr0cIBJtG3aMJQ/Cw+PjDgoLo0fbDSMRDb2
OByLWP2dSBTsBhHk95k3VDYfKJIeSYjnGwmNilNyx69tyWRuaHMr9X19ycaNDQV4HAm3o+cqXS/2
obPllAWWVCIkZLWimtq/xCMWEoafuZecZFMCah4VOAt5OqmnsN4FADYcREumU+XqZ6+BnUoeFcPM
tn6uvJmKtDOngfiJjZpHKz7zHNQpvO5PeDPvjKj7TakGlwnkMGTfOF7hBguFYLqrAixcrwNvU25F
Cg6zdyQxSL+7P/hbXjwbi+WQZ5SC0XnamU+2MhzHChgJnDm85LXqrqvEe8Y/CyTKLYxtdSvNlstB
MZ4SXYb6HmbtJgyZp8mM/Yuif+IeRQaCqH5+HBrryh+3fI4seOsDvg322Ao9xooquThgbZ8oJPWc
vvRQD33aw3Npac/Eth/MtGW0iTBVn1CcYV1N6cQxiW2mqTyiPI0BL/cmIltivWWFvOZVNtS3UkFL
laKZIGD7K+fkOVmv3aQkJmQotJeOvKXi952L+8/MU7H9U6CLB38ydkrCAF34mPLxdGIEAGmPOayl
wm4tWw2hMSRhAlZXO/BvxRcPXo/MT09l5RB0t0QwUzMq6mmiHlsUIb8EFUYNo5rjB9U/ACBNNmi4
rpHZnUgrUOgnJReR+I3LJPDUz+TWUbtX3v3Mejfb+qmWuTBj/Qnvi3vVyFzh41OIBTAUcIxkx0Nd
cbdQ1oVCfFdr8kvb6L8lsyOujNKt1vCui2SCMRHvf3MKNSomun3ZXuISDjgPAGRwM7xZefXmyav1
f3Sd13KjzNq2j4gqQpN2JaFgJWd5Zoeyxx5yaDIc/X+BZ72z1vvVv0MJaFCCpvu5kxKcJpwKsdQ+
Jbo1Ubirf5Vy2EpbeU2JJF7ZodGv+4KBt2rCZvC5WhjFtHnhIhUX6soU6V3hNx+5QEIRthOmlNCf
qvbJTsXRyKx6rSstY6oc+r2KQfUQK8pGzPm8rat5SMGJoo+LX2EW7jGuuKuicKsm5mfoVNSpKlBA
klSJUox2+lheEotA0Uqmh7IjMrVVSw9W+Hui1dBFdRK6zciLE4DnuIH/5ucYB5seH+HYhlc7yiEJ
96dc0fB3srRwhejR741Hv0FC4fu/p1x51okSGqwifFaSn3gm5uakr5VAhY3V65cR77GN0Wi/7LY5
6G70VPQg6ygAPxt//rHD9OeodbckR1dN2gLuVwXfOeovY9Kfixh6nh+8M4R4J1g1XNlFtzXL8Wdb
zro8lQe5krkwAqcC73Edth1j87lSOexA8cKNMVKaVSOdAHidakL40zVJpEjq/JSlxCkV5mPm9AIE
XfkxBf1JlVhIu/lZpwsXtrNrisJZZz0md3njRX30FqWVWP+WZvnLNNIPvyzhWurFQ4ZbY2NndC5W
RdqS2WCPd5zy3vPJj4flhFZbK4/ojJ50pYOcjvIXlcV+7LElDMkGjWOVol6bd1yNcM4nYWxUMFU8
uAK0IHm/VtfNNMQkJUbJdgrsIwrKd0vIn+k0XTt8voDVrDN3yM1KcGtT2o2bF3AwnWCnV/Ha7lsI
xwppUfF0Qbx0h2vttJOm4ZnYG/D80cijTNeOzt3VTWq3J9MBF31o4IPTYrLOlyoN93GwKd7Y1FNW
BiM6ruL8bKSvrUg2BKjeV2HzFnZA4PMlOI1ETEEsUbeBxYWCfuIypf6OivibbzcXKrdXH6N8Zgno
0FKpeaQQHVORPTWh/iMbLMFEL2RYi57KcXF5Eg0Pxjx6WqgCgUpRhuJxuWc29kSo9lvZxL+Y/T6j
Am0O2OaTqTz5G3Qvb2Z5qkr/B8MD+BghQxSfQv1JAcipNMJW2tFMPCfT97CMKOvFo8GQQQbkQyqn
wi6VC3PN25BR251ae0tedr4pTKtnTj+422zCimYSabLPq3NeKAAEnMBzEuUX897ViBZCRL6zHyYF
3WSGZSUhWcHgBHdd1DNpxDkBbF9Zl7FJbPFo7sY60+6UFARLokQAibCZqDmhijxD242jKw/I46JV
NZLBNGhG9qiMNabxdlLvltXvbdjQx9yXdepvbCQcGPGXOs+qhrBxOyvIMpjTn4Y3R0SYcRNgYdnD
uJbueChsJOmInH5a1JE1Af/UNlplz/fZThoD1Vb4VPowsWdq8zqlVb3rGKFXPc+wrqIAGTVP5Au/
t006K7t4+kxKfxBa5+5s/7dNZud6TLV3eGQ8a2robrEqAnKO0x9Ki6FqYTC0t3rty88dbhpG2Jnv
fxixaNeUiJwNtgHCNTBxVnO+k0W35Mi7qJ+HbKFyDG04fL79K3T1X10NfXukE/Zb/4ATMwbpVKwa
V7+5Cabf5rYclbOc3y6aERjDgj7V43zvOq/452F7mJMsMeXrboxPk2o9ZuW1jEW3itP+KQ9An1PH
OVSloKRpXxMdNbntfFaDiYl/IO9HM32IZ+jAVTLKhkN1FGrQr+vK4I5wSYFHVXZHPka+kYEcwPCb
DYPrntvaOOSdIFDHZPa2N4JQYDYBs0O1cCTQ7BJP1MSwcWgMKi82y2sVd29DNgctDnG3843sdx9N
9bnBaSOgvK2azJSNwOUBOxrgA4bhuaH6Fo322Q1+67UBJluRh+Yw4SwjJ6d7jJ+y/tU3ItyFHOZo
YWAEKyTWq6HBy2EohrXjxsydbbNfganu4kjVbolLb413LLNbSixDRj6UFh1FS/XF6sSFOfazpWa3
OnNST6lEBNEieMNjBAm7o+9QM6lriB50gzPp0CZ2iMohRap2PZc9vU5HrK7zH+sz2jopBEOaSbIj
yJSj9KMBFrZVHet9Qsmf9ZQq/Q5wBQsVJO4g7n0zMIdTyF1y8tRZJ5aloWjqnrUUQ0DVwPKlK0po
VRSszPIziSXeL3m/T0fqzFpqugddHJqsaVdjADBVTxSfbDt5byny8bQplFUO6aFOi/AQxN08gNZ/
mEhcVlQrA+xOhupezTKAFd38KGboyf8pqbCstURh7NqcamqW0GSruwBpYMtg5MG3uCrzgmJnq6I7
6S4d+ro1HJXSc3MTl/QR2MOaE2taScUvmtoevIwLBmeEZFeFuFQwvFsNVdI+SDLTNzXxRrMh/5G6
/Dkw5TptqdsMOGpoPWVNxlLlIe4kjh88EUIp/LVsI/Xc9Oo2Y0y5Gm2U09FEYrlQr24pjJ1QW7nF
IfIwydheWUnuhTqBLVPAwyEIRH3sqbcnDgT3OBlerRySqdq8gJrx/+cT1B8qsn5Ux3dpQVmdeSs+
tbFF9Eq3xYsBFwmZR6fGBj+VFUX70hgURLH4QaZu5k2NwcO4r9+w6PFycx5/Fkjjpu5gJvSkaVS8
5tZk7G29gM0sivFO1DMmVEGnIX4DDp+dVIxrU/LE0W54IuSyUHqBALumEMiNxjTLMl+ztMrWtpb7
ayxXcricqF7LeE1kW44B1HxLXtOBt0hGbmEjrcy1EGLOU5AnU8S3xuK39bXG2sdRAoGJ2x6Zz2tl
8Y2lyVuiJ6ISE1h0a0AyltPdTNeEWJxkJ6w+h2NQPKiUULii8pXPv+KFSY3dd10x3eO9tXLcEjTS
gTozyrLBejzLKYt1HHR7wcSdeOGMiNVW5DvAYgOPmK3bnYuQ8Ba0su+qJZrHTPe9Lh5vRo/qsrO7
l9pH6wkNqNrlBNHQRTfXIZpopPwWpARR1gk+SsNqN7bT3gVgqBQOXR1jlGCkbG6Vn/g38xON8X2n
tgrh0w4KmM4hdiNHmCBL+LQ6FTqdsJGWhM2cK9n0sVvjRkL1X57F2NDdDLl+wKikmBhWmFxzotQ+
h8B8V/Xf3TB9Yj1DuAVG4aa8n2pLxRnHpw7tv2O+xdFCt7ZqioICyBD3mhqRCXUPpe8uPRizRYpP
HHZeHSo/3Eo4XqtVBK5FSXEG+bO9dHJIxxNgOsBea1VjpMM8B3EvI1bmtTuMfcQaT4xkw2P7EBv+
eGf5KtgGUx+RQ8mxg2LYKnjBw0N+apRU3VbOPR4XDAzV8bUbtP1Uq1SFh+ql6UBErL5Z60Fer4fe
1RgophOfPjiHdfMjtYDIjN96F907zPaZBPNU7LoBqhHTgXYAgA5dhTH7vkI3fg3II1EKwqwJd9r0
tfJZFd0PIyDXK/XPSQu3UrSfvUNBv4wpwcOufG4oCpD35uL7m1sUP4yXzmd6GOPe4CHQeVdm9Vpo
j8fBJrogi+MHRZS455sjl9xUFqsCKspG65jz2bMnfl3mX6rRfzSdyojF6vcafc9uNt3ui/QD7gbp
lbifgvcyM9bt6pFvFHNVhTHlFzPdhVjgQjbcJEq8z1QCnSvfuJe1G98VNde2ITcBP/JqLF3ogYDg
mnRNL2z6/lI6ngF7duMMgrSN9n0ciytP2JhRsLESJfK5qsjhgZTbMZ4Fuw3zDkLbIMhP5WeMyIqp
Qvykq66/DiWl17AwI15ROEmDor3mFspc5Re19v6nEuxBX1WsncSlq4HZpiH/ZduzN4tgalTVEOs6
/hVNnXaBO9XXaF6YVN8ymLR3yyYrlUQZUXkoE4tvW88RNP6wz6A/wsnV6UsJVncUFxf/qhs3paQf
9kvtOW6jmOtAvdXYS2w0XbfXgbF3LMvciMm9BVEoULlR0y7qrPcqn4lM1qODiFfVUMiDHOrnzi6n
nR4bkddV6WWAMgZ2DDpnVKnccfMQbOy0CT7CA1gtSBxDOPpYVPrYVFAd9oyqbi9d6TymOT9oPqWr
rNSqS+M2JRneW4eHvlPiydIAb+A6dq38kSI/ZcYmHD76VsNF3AaWj1vt1bBgFpb1z1Li5IKii6FQ
5rmVfc1AxDblJOo1g1bPRzrYAbHimTMHbfRfcTVufKtriC+8S6p22GL8DXPRv7hTcA4s5ipMy7aJ
XobrXkmox2j9nUb+AIOc4YsuF/Mo27nXjOpBtgllGCt4TUfwT8FzKcBBulLG3wP5wbFvaJfINLpN
k2fBVklJRpCa89s24WhmzevQdP5KYIO8tkd1bdcj/bMxfYrB2VcGMdnxb9viAp2y9Jcc0NaqdsPY
TyHEKB+DY2+UL1UCmaLh4tLrZ3QcR7eC4RP4oedHFS4erb6yXfFrVpwwEMedpHZ1Y+3r9kmHeZ2C
v3hdYB1cKD93CBVftDlmPCgV0PaCH8AWn3WK2BIdUUHxdTv4DqY2cfrsWuDUuk1GEV4gd1YxXjsD
9MAU/o/wHgYKvcra7yev1aHud9V5bJN0By3jMHb+lbgQpC/UIhJtgKpjc85gHG9Zbn5V03AWor0y
SsW2ODwmPi24OhUIQfU2ES1X9zw6A0e5WnEoGM7WGZUTYy/N5qAN5KBnw5MyTtq5hQukwwPeFtE+
qxjiNq7xpSdGu8qt+qYUzUSdK+FhwO+mo8yUkJ4qJzw2YGnU3N510TQnjbDYOHTGrdI07qaeirUr
Qq6W6CHFmWEd0NcX1Q5bpQOcSR7liaqj7y9/phZxYv5gkDitfAVm+56I5KOpwomrX9/1kv9FRIQX
kre+tab6Z2BQhIzjWU4fg6AZZDzphROsBRZlVBhAbE1+5q7qthCf6GHv4iZ+4f9/tD+qsnI3AfUC
yrQU/WtXXSk90yoz+Brq4bHW7a8ybW7OWD+BQvhrPVbwybcJznJxlJI+0wGhzewdcFSF1GBLQMkm
8sBZtdkkmfKroM62bxwxSvvQ/N5Zyxye2Ixm5Q3yfGZq6YbYnUM3WJg/3I3GuLO5g/Kg2GV03L6l
vBlt9Btzs5zKsxx2hQqtDfl7WH3ldn0jZ4pqdF5cpdhqPk9O+nTcld19Jjrcj/MPPXHgpg9e60RQ
6lRRksuA7rSc42eUEYKdr33a+heApuOFk3seoKRtcg1rBKjXkVTh9Lrh3WBO2iqOwnNZKKRWGtnJ
Qq2W5DLbNaOpetDmTEYX/brNrZ3WDwFuY6UkgkU+6pwYhzVu/0TcVUxKAxSdpDuGCK9d2dDD78Yy
/goLOZtONQcjV/jepHIKiyoOw1smYXMG2ti/alPoHqlsrIea7HHHjDRvsPPnsKzujZYgCGyq+RjR
ps/gujpUy9F7m2crYSokgcvX0agSXGUkJzz1HqB/Y/o3lCBWAyDGQLgTzKmdbJTS68trM6naMc+6
bZ8rwUYmDMrKel/kGuNWasJRHvHvDbnnhNM5yuiA/FDmnlo2d4FDcHugErsA40hzldpzUwW5cveW
DpVXdTVDgCa4VzQG/X1efAYAejImjNINlGijjPq71cirUJt95qaj12iMd9MmsagHGYiFUhxZ/P6+
CYyPUhwDg16TnEAbOOy3C8ehECYy9879IiPlneKXkM4rCMpuIAYOTcvRYFIaBgwjhkC/Ili5hr16
jfoWtod2KIM022qUB6zMuh90d6byMBwtJUGKI1zXstJv9RA9w7BkOIoPldl0CDVy65JPxpNvxI+C
PmXr2O0uqaadW2p3Pk9yxKLrtgAgI5rSi2OqkSR2xlG10uVgbKBRsuYEDHZKeDF1RtUcLXdUhLux
07Z20zAqodjoklmwKpX0JIbq04+7z6QGq4inlSYfU9m23DRI/vziTQ+tz2gwv9quwK9f3xhqWu4w
vwcvGzFWkMzarfCDkiyAfZlXFM+Uq1FMz6Fpv8b2sFd14yBDhqpKo5+w30HuIeDotDwQzdppV6ff
mlA8qZY8MLCG6FyxNSVPWLX/qHJsA5MPYQhy2JIDRd0Hy6YSlzbFbfLdTTVOYhc22otLDquU7o+w
nRnxUXhSeogUEO1IgciGk5mRe1roFLgz50XFxa31iyuGRx3Mq+5JdtRimgAxbGFbZ4RjBNr55WOG
kGHlTuMpb91NNJmkKNEExORk4JMCzOpsTad6NMzsvarJKlNUG699CGlq9+wKysuGi6zAdJ76RmPA
Zm7ockGg8UiAhiteEgI6kZtgL2Ya1XuuthsFlqokNXSI9Kul2WSG4hsYU3NvS38/P/LABW5Tnpgr
EeZo05H6+NJ8kEZ9MavBWYM1Mu0mtG6lSOM+ba3ay+H09A7Mx6E56i1ocACcUim/cHIg6pHa6qqv
cJCEl6rb/LU9eHmaasxL7QMlePrGSCt5rk27VmtfM5USGK5IsyJ9pyDsrl2LQQkDxR61ygwD4icV
YTuhBiPFAUa/fv1TOtq2rcSptW38UEqSIRP6bAwt7IKCZtuc+1I0Z62I2jMFiAlYr1f20Ef6Va2U
wyGrRfkYCyV5ZFo9v142FDX6R3yKeGxaPl6Qfhho68pU692f3TRUhs4j1lBel03QAcAhTPHj70ni
Pojpx53BM6e6fKQOIx+hiz2VKuYdyyaDeNeLdNX9d4O5VUqA6ZZPG27+nohCOir9XlcOSzvI1sPD
IImvn8+6LNCW7EMElcDWfLJlW23VzRqGnYmNy3+2pZGz1jD1uS4t8O4aYbvEFLTNpL+KofuzYG73
4Ii8v/vXdsHYACudHkDrP+01aeFiIU7gpPrl7+aUaLVLAMNoOemyPS1GoqdC8565yLbUpX8fk+n5
LH2IU0XZN3fLquUWyZwBN3nRELfPbhWkR11SS8yDvuXJ0TgPZCCsU+Q3zTq3h3Ov0vkuh46VW68D
yHqHZTVO3XiHsEFsvk8c+P2JrEKKZvPbVimuc4n23XR5K8ctb6Au4ry8Ux8R2Tj5TkBBguZ9K7M9
02llvaxGKE/Pvau/ZFLhc6jq1ZBa/bScR+NIShmVPC0nMnNIfTJ3/e2yt4nN9QinF1VNWjwsCzOV
1TapuLWwygrDdWsVeF30Wb1edsNoLh54w2hfkcFMLz63yaIphHUFqPX3PEk9DswH8h1FCn3bNEZ0
pcQebot+SO+B4GfmQFk+YFFnb4og6h4TLDU3Na4KT2MlrbWP+uaZsVe1DnorfW2ovnHfmf0tnPCz
s1PTfssHM1+lSlv8FFX5RagscskqvzldnP0ayhzZYGx85hNE9tQpfjcDI4oMTAWEo1h3aknHMan3
/sCIZlWdqFZByc1woRFWDP2AaGKGOx2tp2IXgoV8AUQcjWaSn2llP9gw/D+iPv7h5GH1rjInYPRW
uz90sNtVEqfjNioDolFcTT4QJo+vZmrTBc2By8u2ICmRVE4Kg59OyodlhxZoNp2EX3rL6rKjiigO
xUGqMNzhVN/tymDwLChmm2W1mU9Q2LrjdYODo94/70HWcwF9GhzN7GURrqfKVreKoeFCPLdZzu+C
Ce4GaXbfH3XZkdd+u8trMK2lyXL+QVHh+XcheH8h4bOhSN9PXUJcJBDolbSgbN9KMyYStAzP3GaK
1yhD/ISJQbSuNLP5maXKRTfLPgAjfpgcP/wtM/Mdgrd76y3dIQK5QTbb2ylVFVcelbwwjrbeO1sm
rx33f6aDixvdW+93b2aBlUtoeqgH+IOmZHrI7dL6MVh6sQ6Cfnp0tajYulaG3U5Wd3ew+50dqc3+
lVjTemPIRH2FURhjmBTeSzV5zCddvxhlhtGCYfVAE2CBbRLKCxcOQFFQJJeEqdPOwGvhnCQi3bUS
l5Q0B+DKkn48J6bR7IwcVkEuAP9boWVnrR31Hc42wVlzdWvHjWKfkgQhQEGHy112l0M62ZVI+/eG
GYcPjEYY0mm29StI7/CVsD4b5uGrugnGx6VpZE4KVZn/NB26+l9NDWTOjyoZ37uuMel92+QJ9lR8
Ivts1/t4m+K2TDlj2UbBc9fJsg+9nrjQTVmpoH5+/5DpNcnKsT95ejT1D8uCeFl7bWAnsV1Wtbmd
1qHEDYzS3JV0bQR3x9SycfUJDnokh+/jwpiisqP71R0g+OdEmh9GVVT64frfN6WL7Q06JWaDzr4g
RQWOZY8YGF3Cg4Gr8AbSzuAt2/rC8R8Y3cPRx3ETTIh2yza7Nzb9iD3TstaHfnbBomy/rC0nQp/m
7mPS86Azc45lYQrTJ7iZe+jvNvicFVCupR/af9qBf2x0rO2uy6bSdXIs3ap9URGhPqRps1H1HnYF
BZRmq8SC/444yNBDjYgeU5kSall6fbV5LEAEmDdSm0zW3+u1rDDgo4773XJZxTifUtO8+HuKZUdh
Bs3VAlLHc9rBBqavr5o/qvulcJ8rKR+CC/P/szEwLXWvaJT4lwOXhsti2YEOFTh4PniaSujjiWsd
gnkCKsPKuHTUf65BJqG14Br4k6phDchjFvd6iVGFOaHHKVoAR8POv3K9cB+iAOGNK6mnL9sz233C
7kN9cufhrpTIYpSwpX1eHIsSVyhzJG3aH3PpLdvbkBlR35Y3UBwbc6KBeNUY6DIziZzVwl451jZX
02p52Ywkl+ZDh5W5qRyXTVWcsHdZ/365bP27v3MRrqWZ8vtf25fVf20zdUc7ZDLxeocaKrlX4zHU
xz8LVa0fopbvOgn44llom29ajPhALZPyJ6DdpylK612x89dG05qDsAyxc7Q49NzMwPUDD/hXUWjA
Zyg8ct2hPw00fJmqNLqReEmoMR0mrAzFq43x6OCy5Y+xsYEVTv+XD5dRyuxrLDH1bGv9LTBrFQZp
4TBj75W7/rbXtQ5bURXofqX2RrD3s5ypdYO0y9Gz99LVfpBPrjximF0ccx2bwcieICQM7VZmZXrr
VEC0UUm1rYKE66flrzlB5rW3rgrKO01W6VZFIHYo2iB7dcbxQDEyf9d6o0D15PvHLOziR18Ev5e3
m3SHf1AOxdUusu7iB6AMw3zA/DlgUIJpxXADcysQO+wkP2IsSc/LwsiH9ixFC73WdLA4UJilSwiS
Z0OPxLBa2qDlnF9C00YDJ45/Vv85xdI8K8tblqXF/u+pUwNasFC6xmsl0oBhmA74triXZS1PEKDZ
Hbb3y2pcwWKBnnronfpiAwg2h5oKCOwwNVoXUqluYweuGudC/rAncOtoSOv3Is1u0Dz6X0Q0n1vG
o191ZyHJygMS7ItpVTjIBFYKE/m5HO0G6FuyAYaME4hZbp+hE2/QKc/mcoUtcZjTtXIVES29W1b/
7khSJSMHGZ5lR7n7Gr0qHTHiBobUJ8cKpbutSyi+/WDVh9Bo75a1ZbE0Med2y6qc1UWiD6iXNfZD
NKjKIXfQdWWo1Jmld5go6IivNtG8e2lTKb66TlNqopVp0obH6i+m9Mrd9yG6lq4rPTCv3435ny4a
yRJmZdoPCIY4yT/v8X1872cVVxbvUUMpOA5l02/XDTzsxyDJ8kd/nnJEagVX559tTt02m4QSGNQd
LOFQruj3leo4J6nH1Qkty405sfmsIqvCb8y6L2sbS9kYPrnNhXhadpq42m/ggZR7tYQn2HRGuctt
+K5pYwQvkV/YXtlhjqDHAzoq5J2E53RI3YbMep5SWDZuEShfW/A1/yvvGJIaVWM+Z5zLgyCbnAbT
CDdlnCIgginwRDXTGzjXvWEa5tNU+RRObZ0ZJiI75uaYuhuiiVfLXtsA6Rwb2z8Bz2MwGkXppayt
6mLDWANCr6IPaWd3VR6br5VR2mgqAuxApiy6lQoFhLmB/b9HgqXWFNWd8AO+yPeRFj3Wuhxr/R5s
iYq7LdPnPkWhhIFn9BD7Pr5RWlMAkaT2rh8t/RjzjIAOk7Ug2nFxon9rdmOm2hfB7+PZSWI8FCnx
d5Gq2M/DbFmEH+9KSuHs6tafxlU2ZzC09qidgTpTCpe4bs2bchj853JefLdrKlGQbaH8OWLZ04wj
Ccm98IkgRNwOxu3BSGwfLaMNn0oLz4oIozdvWV0WNBC21T4ysp9VQBgP/W2wbKOBJigHUgHpD77b
CpJpu+Bo5Wl17sM+85IsbV71KP61/NWa8Tsy+/Az5lqlmD4SdDEf42BVdBTzMalNTaGKRf06GTN8
0PtfIv8+JndTbaU72Z9jpAUvJUnzI5Iq96g1o3sE8gTf6nUACRnnwTbh2VCRhs2ufNn175cMgo2N
0kbbdJBZS0iBQMdHqu6q5tvj8kyO+hhgwrAyVYdlPm/4u2jSiABgWK/PE0Jarx1IXK+jwTgVuZ54
kRkrN0Ty156r8NOMuntR98YN3UIOLF7/n6Z+1l6XoasIh/vSjf40/ddZxaSSsV7IhDLiu17lxovq
V+Vz0P3XStS9a52lf+/R3P/a8+9jSrfsd3XlQ0KZZEeyeK0OPGNR/AOIqsJbXiYahgDRvCjdGIdJ
56ri23Wsknm+trzM8aBVyFT9363LOs7w1d1kULJ2R+UuN4MjkhGxS4GK70DllbtlO8J3iqfLRi0b
HHyR59aAfm6+Wlq1ltaa+6VBvWxdXi4L6ZhgZXYbr0qcM/60X/aMWvCzdavwONLP3wfcGvt0oDCn
ZTK/93Mtv19eMQp9bQBT7/5uH/xA2zsGwP1y6P+2hW36p22Dd+8Kj4MW22EnOC8LE6NPrqNMeLbM
8C5pWrTfy8u/beoRuOPfbZbdlmpi1tIRLBNBMwyeFczfj3neqNSn55e6AuNrebUs6oBnF/SkcPV3
W6c7ozz/XU+sKdnGGT5my8FIHHFq+td5KFcC0tS1RXflgJH91zkYONnrfBxU+DUlWi3s+jo3usfI
IL8P1DC/l+looxH3jY076tl/79g3HQZ+f7eWhmFvQFqNzXLgssBaOb+v99XcctlQ9/DDLIYcO3Qa
GUkztwm48UwYglwtq0iZil1t4LS0rOoCyaiCVvO0rEZWtOEBqT+Xrq7fJ5l4Xjb3Ed6tjSBDLh7z
8VZrQL1MIezDslcx1StJmtMDQdniqc6n71O7qWiPfdyW+ClxEIjH6OErxHx0/lhaiptgYSrGpSdX
6ab7JJP8308r5k/LMCzcgiQNt7+fdjllwqfNagyaJSr93eKEnvG42DZFAC96Nkv/dkef/dT/rso6
RInmQqFZ9i47piGlZ1/WUzX/kWppvl/Wxkwe6SqR+KSa58aMdZEFRtE93m7Dpqae7Q21PUJlCrO1
j1HBpWAoRHSSbwI/VNhnLa2/D7SNEO60dOZcj+jeVOroHr5ZwNSif0jIvzhhIH9slcG5qTpvP7oD
qiPXvZdd8lLPm3MXnU2VAKc3beLchsaI1xTio9Oyt7FiMjHG5DXQYE83goidoVecW4VobJtX8bBd
jtL1nnJkG8cXV0nd1yk+LW/pKJ16wukVBHB+Kz+OAXKrXNktq2My/pjIncXDqi6f68D3lrd0G7Ax
bSL5uu1S/VWgGksi59ykBoiHqiIuJsjqTFK2fe6lCfYSa5YPL1Q8jWMqsBv6Z/egwGH4e8g0TSOd
KBb7Jo9Ww0R1EnZPQdh2TwQtUTpMIYf6AatY3hAg04/vf1torf/Sx0Z6XtqTelLvjA6h5bJazSec
Udz5XMsxfZWZazxF3J1rmLumHavrkKO3ZwAA1b5SuFtVTDJbwwo+w4c27IpPMpwyeILBnDUgUNtO
jYPQv49fTKv+cA0l/0x8HfqLJd8M3ZRegzPhiWqkdS4nTZKB5No/Y0VulqbSAefTe9V5nFKy4UY1
4kliVv3jVLrdank/C5Fi2lny3S+hKipyYDCmJOaxRlTpFZHl3CAOnJemTaz/6BwVDaJuaXwoKjrL
dyj8Xq5t5lH/+Q4Jc6jv71BkjKmW71ChGnqJcvkBfbfb+jIR21RNpj3kgGyjY+zxsqx2VZJv9FDV
X0RT/9k7uYHxX6tqoss9oFG2Re0MTmIo8atKTvpGHdXqAhm+P0gtqffYJuMjqkTpxsY3720cuxsU
aPHbqY91qkxfjaSbwIQ8RlDO0ZPrV5eaembRYrjQG/l7n8lwh19Whv1d2pcnKnNERs2v/rXaYvJM
zLBo1swDaC1lP6KOIAbabzLrkmqG5w9KdAI2ctYpdVdv2S4dHS4QQuf8ZJiFVzQ9kRFByxGGGxH8
4g7O9wn6g2ELUrW0OV7PttWTEHBB5zUZB7B4imr83tlVoeZVVYcjwbxjabLsdTu9OAIg4KIfA1Dh
BLZNq8A8C+qbZ2teLKth2lvHiXDJZW3ZvrTQMvAjQB8bZ+o8Rvo+H9sXZByFZrYNSb1ZLwbsKF1f
Soz+n6IAwmStwbNYjNDtqX6xXCd5Ak4Pv7eXqb1uNb3+idsGavPuE7dxnmHQXx6CUvj7AOugnROm
+VPSA3I0itp9Gr26xgC6fVdxbdpg46hdsE4lAa1No+0glfq1UrWX/8feee1GjmZb+lUKeT2sQ28G
pxoYkuEVUsilzA0hl/Te8+nnI5WVUmZXN/pcDOamgAKLPkKREeTPvdf6ll/FPUgdgrLGzLrTIjJU
IsmIz9qi7MkAUUao/aN/4hkDM3bmX2Ir788UudEvtXmiyugWtfxyjEJ9Joq1RySYB/x/aC0rNa52
8sSw4mP/tq7DtdjwyLasWw7rAlT4Y9imm2Vx2SCG1RvYem3/sZuBksqo8/QC86Z+mZRefWF2gvOx
A2QZhmbR+PJxmloxyk0zYepbDlo2tG04uHESeFguONGyTmqygbDrMN0ti13u6essLFBDiGTjWL52
Z/JId+gtRADLYj2OwQpSjbhdFo04v21od50wU3nXONTXddNqd8XoY2CzrqQhUo+0LkDw++I3ZFji
JqoKHmmWdcskDLP6DM8VtmX2FadcWXtTVeyaLntAC4z13PJkVxLN6KofM+2kys8ttQWMM8RV7MCY
YXmdN+ZVHl+Jaii6It2h1bLufYNXPCijLB2WJVCK2snKnpfdlzWhJok7Bq2fzxMluYgqohFWldF1
GEmb+sHHQ/V+Dh4ukGuX0wPmF9OpLDrTEa1/ab4AhfBerz+WPO99ablWDVAuPrZ1Py39OG65yP3Y
czmOnlN/Lff0qucL4I89319v3jYDd/7iOGvwUT/6/c7vx/iIszE+arF31aZjtwXHEh8/1i9z7+vK
gYZZj7KB3T9WZxVXentZrqfuJfER5pPPcPRSLT8uc8ukLkeYKnLSEiD25wZPEsPh07JqhNtc9NN9
1JND+X6ajzN0tTCupGhm983nXybLuRgUdPaX3/7rH//9Mvxv/y0/5cno59lvuBVPOTyt+o8vuvTl
t+J99e71jy8G6kZLt1RTVkQRE6km6Wx/eboKM5+9pf+ViU3gRUNhvYiRrOmPgzfgV5gfvTq3Khvx
VkPXfTtiQGN+eVijLmYNF7Ie4xRHevHgzUPmYB5Gp/OAGpvZjUXpbx8vY+1M7jpuMMhrl12WiZmW
ppNV6H1LWwh7i4EKIQHJ2o9i9byaNOV9kk7SucqldU9vmM8aWpJ6jiq/2AiS39of+y0b6LkRoJmH
IJOLkKKolm3LzOyPWpYOx2VO+TE37wE5JWMYh+404NHk6MnSrgnb/LIIkdJ66vhpycrEnRZY4/rf
f/Ka9esnb6iKrqumpSmmISum+fMnH2ojOj4/NF4rYlyPupzm530rJuekW8zzuLdr+hvzmnKljSST
IdsYQIfMk++ro8oCG1jW3lGguemmqqgBvBnqSys0KhAKrBs8XUNOKnYBrr4/l4u2eimTqiV9Jvha
Ite/COmGfxXlr0nctLcKpqmrGC33stZsm+goeVgMl8VEoqkyKALw/PkYDe/Byk/qCvN+q31Fa5E4
k5Elh2Vrlsefzj8Un84vKOKubyuMlp5E6qnnNcA66u5I9fnff9CW8k8ftC6JfM8N1ZSwfKnqzx90
a2YmA1Y/e6Mi0sOL4fNbPmE/tfhQNVAWGPug5S2f8cfmPgeLWmfZ/n2/oG5xCsMR3QfqVJ1R1sEP
G/OFS/WxJTRzXtmZs354mfU8dZ415O97FZr+1pWMu0q/sHYwq5RVZzbTU9PYY009fCIgZi2mcrtr
U9W80TzptGxPecqhYi4XODk9/bwCb+zUnTk9eXV8M1BjvuEa8MsJE+QHV6KlIDR0hgRu6aQNp84w
grO2L47LEpDA8fR9fXci5xkCX1dknt0pkB+RuSiup37swqGNmr0fKgtq5U6MT7Z5hMojAB0Cwj4c
rkSvvBkHSSLgraOWZDbz3+IL94axGltNfBCh/28RC+nvi/oYnmd4WK8Vk5CgMNdSAlM5+q/OOh9e
KbAQlq/Gf/10+auXy+FLXoxV6AfNL4v/uMlT/vvv+Zgf+/x8xD+O4UuV14gE/u1em7f8/Cl9q3/d
6acz8+rf35371Dz9tLDKmrAZL9u3arx6q9uk+fMyPu/5n2787W05y81YvP3x5Ql+FmVWwlnDl+bL
903zZV9CzffpRzS/wPet81/wx5f/UxFikT398yFvT3XzxxdBEq3fsYhKqobiG0nb/JPq3943Serv
pqRS5UFDZVqY0L/8loE/C/74ohi/i6Ip6qaIEw8vumV8+a3GqTNvkn5XZNMkHQEEm2ZJ5pc///jv
97D3f7W/vqdJusJf8+mupomWqaGqRjklY/TAvPPLXS0tDdrHsU6O49/Y2v8v2Nqa0HEicVLSRbQ5
hqTRu2L/sZgQr0NoihBE+xIuRd4QaD7FmkjMNbOIOLBgLrPLRIAJsjeHUkUpm7WiM+XczfIZ2Psx
gUgCtdeXTAOr+wwMhqMAmistSC+TYLYGBRkHRhcVIuhcOim25utStl1WLzt87NVX8leth7E78eVd
0269oliANTxLa6SsM9b2xxyIeUxIv2xmrOcBk1WidC0M0o1nAu+NmwK277LjskxKMRzbT5s+zv7p
nOhR5qOasoSCkKLM+PnVMXT9edLlLS3neH+lZfbjfS4HpsWmGMHRxkIs78nNkN7nBLWR94qWELK7
zC6blwlhw4+mKtLJmo/4mKQ/FrVSGLdZHr3v8bH+Y1+tBvabI5SZQ2wobfHJ137F9H1+Wf0xwYuU
A22Zty8r/3L506mW2RCzyhoNzs3HIcvc+3l+PcWn1/2n2ch6VdKe7NGPN/vrmRJ9BPXSYd/5dPRf
v9J/9sofb/rT3/3p3B/bl7ll8mnzp9llU6hHIJUSZW2AAXZkE2r1x9d7mfuX695/F79uhpifbX9Z
KeT8mJafDsmyLfFc8y/sY1LUeSWuBOJfYQRXg76RIXF/HPOx4y+nXTbo02VAXBj8Mr4KycwnXuak
bA4q+rH4yzoiA0hH0udD/ml22XXZtMwtk+VEyyk/FrUFcbwsp8vpllmtbzjzv3/1ZcdlsryMpgLT
aHsAtfP7kaGQdPfLbId/UVxF9SRtxN7YKIlY7HHHF/txslJ07G0CmXpeuUzMBMan875p2WtZ2xC1
BBt3wvFQl1Hvqo0Qgbibj5pEYF/XyywkzTS/+HQaWfdFeGFSTEPCzyE0zwc0An656FAhM1zHDMDc
MZGOllBh3NWHZ2g1D95UNHZKBzILkOANVfscJwC3qmYYYB29jtSZUrpbq1Qgm3IsMvy9ZngAm4l1
cYBPTDm8TfcQN1+UqcMj3AwAFmMoBF5VGlg7frzL9z9jVKlAjzN7vJ1J7N18HQd/BxZ+XvyX6+of
W993mY9Yjv2Xi1YdYHr85dT/wWkU0sc2lJu3y5kxXXDPWV7pfXZZu5zGTGdc/fIC//KdIDHfA53I
N5/fDQpbFMnjVbHcycQZC26lQ7pf5pr5L/tY9+s+H5s/9vlYR9cMwtPH8l+dVu4q7p/L0R+n+J+9
zHLaj1f5OM2yzoriB3Rs2Z7+YbUnFqXay/PddJlb1i2L3MFPSGPG9cf6Lqh77oXzYe+zy6Zoua8u
x/xyxmUxXe6Qy+b3PZeDpvlll7n37R/L7+cMVMEdSSpxJ6CJeCeFcw1DG5Wvx2AQ0kNA7FHeAxzC
k+7bQ9sPmxqlFQ5CyVoD5nFzMxYRbBOnkKg6rbegeI47gFjmaIUO92fUzwF0WZ7BrA1V87PasvJt
10iYXsTOiWPzUVH92C3CfVw/6oK5Iyw5RYBUyk7uyQF0m6sxU0YA0IAthbp8iSbUih0jjFWonJu6
P5380tvUxWDiskRykITljWgI2Efy+j4JsUSkdGdHqbVW+aSd+zQ+nEieHIqdtTU3YULLWmkYg7Q4
QFWSO20izpTWrLN1jJB1GbzEHuzlsde3So3lkIA7OC/xOi2GGiFy0q8zgwTGuDzRV/gG+IVE7CkH
Za7rZzwiAL3vLTzScfw0Jia4cjPOIOcMuUvI2j6RxTuCJ4bzNCzOxLGmu4LXa9SN645y2U4r1xb6
RKfMiYVOLWFYqQ0JVV0fXunYKF3dBw/51GV56gZtHvAvKUprNQ8j/DjTfZ6ET0YzKSupfxDr69Yv
TqWqAX7b5qmYrgpjvs5pwWaqMCwWI2CIOBRxs5uAQVsPUqYxYRq9VHXQtZS19rJcyY7S5GjszPwR
fTtkI3TPXBY9BQSpcikrrzTKlH0KVxt8ogF1EiJe2uhnWVg+aJo3uK3p2e146af+PpKLQ1QM31Aj
Z3uhJEmcbnfLv0XRrKWm9uwkGCfby4JwR16Mx1AXes0Y7/uGi2oJBX4NdtxJWwvgCMUExyitl0jK
A1uuZfNsVFKg9yVBEVYe7ihOwFe89CpwCUUYtpBEK9NFir2RPHGj+pqxUkBsgj+ItLCAp8ufpU/9
bujNhyyQo4uuLabL9t68xgHYbYyQ8qhWC29CsPVKRFnkSn/NLZrHqJzIdQEVW0/KSQEwn4MF1AoD
nGVhOY2G81sCGtIVAVrTrMqcBqqlTWLnOsiSeleSLGaHOAjd0qwMNwBYJYQhUDTPX/VaWm4h0z34
cfsNc+6AvhvkB6yeDiMY1L1au9CkQ4DmnwyH80Jp9IPpe1DlktAZildB9711byUIQ5FKlLnYOk0r
7a26+JaV6klrPWldFHwdVmiG65U6hcXGik9l1HX0sGSQ7vUMjg4SwDppYbnkhcHtyLlFYxQHejPT
eEy/48czSVfFBC2e+gfnIQoadtoDYKhLvdGrVR1O3Crldr8cMRZB4AbiCJioPmWeXzyYoJJDacIk
a6xTfh91nFZzhcausfa3jPZxYyfmAT1/73pmasciNWFLVvdlPkoHOaIXxd/jk+khvQzaTKLo1QQW
61ichkynHgVAv0osvNskPg5D0l7iVKLUG6Yk2zXYBzQpTE8jWeE2MTaAFEbzdkJXAddZ9Gc4SrM2
FF/alODl5Jb6eRk115USmFtioNKJtB/SAwrQmLnGAxlD6BJmIGmAe4Tx2mZQktPQ8/jXxeq4ynPt
NiB3ZF1N47brwXAO6mRDp5Kcxq/qVWE26ynqnlSKNrTX4Q3X/PChgFY5IDg7bSBMaYK3aTWfCClS
Vjm2uCVCBcdKo6hnXjkbD8dH8nRsnQof19MiIbwN9otecYKwq7SVD9yiVsu1ZB5wwQJvqvBfoVQl
w49/b2BSdP2TuxyZKHL13Ma/ANZarY9lb+HD75rSFgMRewIaHVuUhvum6VLYu/224B/Xlol8nzoU
g3lwDLtpq0fDtZeVp9pDUm826MCE0lgXEv1pBmkCsePNTY7iBW92XgEIgQzaKMp1h53DnUJrh0MF
1KMwjKc+wpethMKmi7noBkESr5sUAHuRz/AZo1g3ntyu8xTCQdKsynI49xT9HqCC5KgzQTa1AP7n
04M7ZvIVSMSv/PoimDRtYfcW5OuEpQYHUd6rPI/GYeb4k3+IZBJoqloGVQ0HbUhRTvIzRTXyJOXS
sAblQx+2xBRH4el68KzYNbrAdMYG51DUGKQ96mexL90gG2CIYnVnovZoJV62KeRgSwR5C08KMJVU
pdcKYQ02rUuw2llMNq+IZ8RqtGu0i11nyof2gpxJ4dDzA+OXpmzKCHyyaRkOfZnWrlMAFGMn25ph
mitfv+ymAQV0wW+y9+oaJpAg7wbtRNH7vBzAzZQG370+bjH31/Eubu7gwCD2JyHT43LXNPEjDwi5
M3ZQFBvLWudey/dDR+qgxthfG+TDK0bSu4os+1Ye61NshqsxUiPY4aAf0ITY0ziqByyr8FUhN7Qo
ix0a3L2jhtFRmYCWNxbaDlhuraFia/W+TvqYO+pgfQVjO4F1REqXtKQbjh6Ry9qhk+E79HE6h0Dq
b2mFfQhKWIhh2M+2Hk8CgAbk62yYW+fQClaJcZB1/I9qCZ0VNhqJQQHS90gK6c/o8kNptpJjEadl
QxIv7QrP4HYk8oNH+PyBIKh0N3WMiFo9XAuafjt04xqEzm02DardwOOC+0ieClIAoCfTWWnie4i1
+iZrVVgoCrhBOkDnQId6TKcaukcp9JzaRAUzEbWtZIAorkD5g4lGVoTruNnn/DaM2OvXXEgat+me
ujZEvqkOLuSykzKT7njA0/hCi0RiNdmqonxBrX4kXVeNN3UUfvXSKNlPkXAOGO1ZhXsYSJO/F03M
oRocAlUm93ga9XN0G8lGDVFs6+OZN3/ShdSd55nBw1LBlQ8GjIRSGXR8ZdqKGb4WUgifWGWgABwN
sbKooovPob7ABAG62BWbNspuTApELdfjve5b66CW+iNEiM72NLldqX123oJWWuGvgVQs5tc1I4cS
zZvbNM3JUsrK9juFJBW5uNB0+atckZxIir0O3EBX4KEaUVG7aEExMFy3sXTGTvyzKZeDhih7Sv2z
UO6ei56XEiMTcFM8OoZm7Cuo9GeSHFypQ9LxHW3WfRS8zhyoPt6P8vAt6Qn6hpIJC82XdnXWD46i
YnKN1LSdmZN0G74p8FrB7SQ5Jlv11rQCvENicO51xDkGpiDZJc18O8siCy489rAwzrxdyRBarPKz
opiQ7ooqZvnOSYgEQmCr7NqAZmobnxm8ojO1MBFDKaldtaSDVBrDGnyksuUaB5LaQmaXRVem2r20
BubxGGdyaPLBBQgfopboAc1qD2WgE/dZ6oey2GbJGO4sRXT9eocqUjo01pQxnp+NCQNo4pjMzbxQ
Njw+QI14xGOrXNTSfOlMiK3Rh8FN2+4lE8mrwx/MJ+65k2/e8MRW8FiH37XYjL6q8+CSXg1qZroC
tCRfEa/knm6cImbXWtu+0viC3leIxAAE90lkFbY5BPIZJukVAMx2izsAQC1BJ3kQBQfRIBmb9DS6
/LapSve4ly1iLEoCuuPijPsgwy3d5ONGidHOEN+QgUKh0kgCuq1u8I474H1IUMYyjJDxsWvGR0Hr
1r5CI0tS8qvUMsMNKCHPRe66bZOJICa5KrjmTYaNppXQ306+iPTqlPjcjAME3G1sRMci6s618LUy
5fOql/U7JcMeG+4LgfH2EPtw16K3EaC50yCCslVLI9xHm/iOdjmoC6CxZqLaDNEEmwyCgHQOqXXL
XuLHB9ZZAIc4DJeS3MPK8uRzoeAceUPAve/Rh4oEXQHD760aKaHS0EfgvkWSMZvW36BrWvX+ePSq
QFxnfnIHtNXfZNUUgyLRzmXqFbdNflBlLFr8vBgdoNV1k55yx9BMMNyDp3YMb0Q/193M67/JmNwN
q5N20th90/3bTk3jdV+P3/p0UL5qAaSmWCjmgeWgrDD1IbrL6/aou5EkW1sfFaxQ+2dFQ+vUakV/
YwrHv8NMO1mVN3+HmW7+DjP9O8z0svk7zPT/YZjp3yqC/0hFoNLJ/3cygl0CDD8P6590BO8HfRcS
mMbv6M8wTSxKAbr431UElvS7JuqazmpTtyRSgn6oCFR53sR6CiUoekT1k4pA/93SDR7cdEv/rj34
H8gINFP6WTmkoReSDcXSUMaphqYsgoXP4jicGGqETSTYq+1tzUBqN3odwQf1FDn3I8FaTpeqRPiB
5WVYW4GlFnmONEsCTdQ4fNWH4ttUNsJWCyoyROlr8JDCs11onca6S/dmgs64RQDUEWYxFir4ULnu
7TQEwIkloZDw9YnOYEovvtIb13AaziYkgJQnjemqrycT6J6Kn0zCT6W1pJIMcrBJy2QGmEdwA6sR
Gu7UdGsF44RNiFtelLueZKSik6HIxuIqq5KN1Ed31mjJpO/4hLklPLkaGuNOtMZPAhUu/NahT+6G
pp3VUYLj158OorIzskxeD/4WrxnBWTrpbL2+J0eEDJosq04ypmPyM6wzw5h2qddgIOqTwIkUoir8
od/3SSufNWKtnBqI0eckeODX6AANzeHUfgij2IqqO3EgJYUcLaQCCiRtpSBWCiktpUsg95MR0cr3
yvNl0ujyzizL2d5C/4ocFCuR+/XYSvk2Ti3d6YRIWaWRImzMrKLWEQpXjD+jc6RK2McAK2pSfygq
RpOUMVelBDsVuWS+Mgqfmp2V8bTbwpsusOuO2SRtKVS9Vf24Q2bVr5JaWOMZzTd6PsCuoXCWUE1X
MV+eqqTjAakXnKHLYeB0guLUkUocJMEnYDutPcNLL/RXlaziNC3qm7THkCUMGWbCfrAJuUlI/ctm
znHu7Sfrgrb9osOcxJqHLsrZK1UDVYu72iad2eRfUMAyH6V3YeBfmEBcAawUh0Ew7kVPOsR9rV4C
WCXVWW1IRqNKfdJlb+bam4+eFlC4BxQmt0lxCC2SP0qq4nwjo5bEIh73dL1IXHkU6mMMQLdRdNnN
8GU3QwjvsG3Ss2zQk/cJfxqI3+S6CxPwTSTg1FXuFtAaIJY+eB5dksGjIibDFxDMEc+jV2wRhoZb
MxSUFTiEgNzXFo0rNAuqByJWIZiGWOcgTMfl0RelK2h3jkxwIdRCwkTxhUPnUNa1r0grucU33gj9
DepG/zwt050Qw5JKlNx8jsn55inxLKXqczXWJDAFFskrVJSVUt51pRS96WZwhG73rEITJQdAwqud
dd1FWUknoZQsO8+G0Z1EqIiNSAmb0oeH6JpGim7tMyCFUg1uaWh14OqEJ5ipn7oCtHd8d94xH5It
eNbKNfA5uzgYUjj0ZxTRBqy5gAEQRCbdrkipKlEajMEmExoDv2sdAzc+MyUSjlI48E6p5evRj4mg
SZ3e6vY9ubHTJL9oVXyTt42wplzH0ZVIzk9h3kWdWfPPSahigF3GJFSWgs90l0cUKNWM6uVY5CcR
JYWVQWsdcmJt8hhJN1A42x8NYwMzbD/Iq3IEXxqma28A+wGYxTYIzwpgKbrF2N+SAQQgvprrqTV/
oh5WJBP0ri4rhWtI/bOs5F+hiknUJpqtVkqJ7al5a+sCSS/BUNakC1TnSgpSCgoKWh1VUzOnR8lF
bZ5UksB8roIHQ9WH9ZueyrSb5ddMSLHKj7Z6apoMsvOcZFWX96M5RavE7MiWnGJsxCoOei8PBptA
H3UdtGCIs2A6iVnyrfT763IuSavgSco8t0sCCExv2IcKms+YB8JdqwTPyYBxhS7XM7zVnV8MHbCJ
/ltFL8YlDOqlSeAOF0htufIO+5arpqsogFi6kqfKKcw2rYVHPUtxCeYexIBAIsLVu8Yd9K3rFI5S
xzkqVQcullenbJo2Ql+eEusmoKFkB9p0Z6nUTwqiAcZK3pZ830aArnpR31JpeqSedyI2gDBcHc6t
LtB+LqbaAk7ZPqbeyFM4NSmTTBxHoZFnd7rBrQrLXwjqMBx4UFeDiZRUeDkToZo+ILaqeM3egh4q
XUAaoDyK53qj8UMelEOUmuRsDDtUAbQjR8ojgQY2MaHGLVMW2xgUv23YB3gKk8ck8QjN88fXIhR3
RT8+jAWxo2Wn3MNBIjGsDO8GUToPghb8/H0h9vGqrHzZrdVxpkuJ+IRCg9QV6KFhHh0IBkA07NMv
gSsSwtWerqE3fCM+B19I5CgetBhJVG1BpuIkf8snmj8N+QBbgibyC6v2jZWeEF7fBwYchns50SPi
Inw+4lyz1gM50bYVEPJkUXBsTPK0wu4Ch8yqK6rXyVQHJ4tALDS8lt20q1COOwi25hP2/GMnpZDL
ydtyubbcClWNZ4E7qxc1b6pWHcyKgqNiCOvB8i98jRLUMK0KQJFwwDTvEAjTts8q35Vl01snnXgg
s5Jt/D6KOO128cibDL+FtfakItglUVK9LeVGRjRX0wjt5F2ddpVj3ZPNcIXpW8WNZjC6GPM9mYLX
XHpwgGMH0svY7blvNMlwyKzpdjRyarADfd1Rv7B68wklzFddBICoqG8md6C1nEBC0aCiprhp5PGh
RB3nFvQeXQHhfKKDEq4V6ZFhRL5rI2IHI/7NUOOustKAt02fMfU6FMwp0VAiviLL4MaBQOnMUMRh
F0omBMT5Gt634y3kVcnFJwej8JWf6rQTAkLhLJWsC/6JR0gYNolIG6vqs+1Q5y6jpYNmRSnx2tlb
ryQ7Yo4pF4ag3DxdvK897UpEMw28RMWMf+mViu5OmPsRpmhQnxlF+bUWHFpj9tnrxhmh8z4NHkcK
LvDOwfj1RbquoLHlSHprU26lhS7ZreUoUrAqwoALDwnAQZk+y1Zy0WD0ESvQqY1GfunXocPwHBJD
acgrTZ1bfOaNF2+bQLsl81RftQTuZrqxyRqybkXq4ow/4MgfjSrDG1I9TSOROuVwwsd7JZX+UTbz
V7nUQZCMe4pQe3OkwqcVd9JoKiudr5iIIM8uhS3fxnUhTsGmE5VuMzFOP4SZ+Zy13xqE7JQlZdge
fTVTk/OXwduP8YvSEiJAGd6VfOO+zrxj7WuvuiHLeAiMt5k90XfCkVxqqm4RpUgiFh4iU/EoYvKJ
wYMqIIFve03wndHMTiMBgmT5GI8hWXoIGUHPA0D0AQPDWCQDhU8pdwxLvgiUCUU77K5SpT7+PNGM
nRCBGZX/TBLbLYFoe3MeV4qlss9eVcU/aRJf67BO12UQXgyEqvA3VWvf4EYayfSS4bvnXMFzAYCu
EKzD9F4o4tM0kZyeeSsB4BR+MqlcZV5NoHA/HbQ6uTYiLScsS7xtpBFLTsqlZUjFG6you9LUd3Ef
kU+HlTvFNsHgFAvtMNenyXClUqvyljUsY421kayIFHGLtL0ytvhX5UmA5hu1yckkPCKjhO0F0l1S
kRDhddKqhBJNZMamUeVHK4Z94wvPRmBeadJEC1wChdendoXJjwh2ddcVWPzqnK5qfE1pGjqlrt1I
hMQ4fdSQn1Ef5TqSNmAdwnWnV9tMzXZVzIVODUltwzhMg4D7YFpE/aoWE6I2a3/DVwZKIExhPDpR
hcxKL/dB2ROKuMxqJkhQdZgFavNm0xfK71uW5bAsA9dsE+V97+WQZYPMZ09Iz3y2j8my5WPRkIO1
J43h9pf1n15+2Xl5Y7/sE8fRQZHbbBO3WIVRjPFC3GHr77Nc9+vv73PZVGozDwFEV1J7ey1vr3Mj
LuCX8ictE2lWFn0sLnN6Xn9e19LQ3iPb1TxvpHBrPqXLayx7qT/v+r5O3YuMU3lMRvBU017d037K
91PaQnsOPch8ngh+cVm57LNMNPrt+0FHlFHrN3kw+VB2fjr+Y7GLJXr0jUFmI8hlmDU/dpRyHVIz
n9CikB5mGVlAPxMhY2i6yzqjG+hjQrlx4gH9Xz3Wl+QIlpOD+hJxZzoEhN7Ns63gn7KGdNt2U/bA
Zo+1es7datKOPE9E0a25IrOXQSlRDo29B9c7PPSXynVudxc5HHmnOzByoUd/S7C35xR30x0jUjmy
85fM5tGRq4U77cMbqYxsMqTMM51kQ32PUIYfjx2+RRfWOVED0117HArjMrkxT3Pj/gXfvZyvq5FE
ADt1IN4T/l64BU3BN36/PKvQh4UImD5WjRMeaBAIZKE8QdFG5SOmGxAI0r7JbWabl0xzYiAzowNB
Pe8wwTnAWQNuLa7yXB+93Kkd/Ot3XErI11vTjSL0wfa+FjfxoUMGFkCNdkmWk/GFX5foOLmlHRP6
+GvpRlX3gUTC0+Cq2GW789R3TsmFeZq4WsCKxOu+Fokw8nmYDS5QSl/5zTq/EuiUJ2dMtbNsjvOA
sCnL93OmF1haE8+0cGQKNtcU7PqNpNFJb9cIqfxu2PHco+/DTbpJRLCyWws4H0Ith1tyVsX7GZBs
8oC5VWQs1Qzr6BMSeU+v7MbrmAxXkXgrPJ1qEA60suCpOMohuU4fuUAnJ5KJt7mTXGfX5SWGMltb
Qwzn0czfkm3EINeGr/tkre8N62JEXuM73gjawtsna5pdlr5vSLwCgRXLKHvsjrBcyKZF6kZPqo0d
bzXeqxfF6oUHU/+MZObeHe/hcguPmAHOfDqzl3eDI18kNhkzBA3tofXy7KK4PB7ahPCcShiEW9M9
IQZjNeER8zSPXMFRT96ruSMvyW22qFpvzB0Bhhv9FB71nf6aPfP/nu9adafvkufwVio33qvQrps7
NXL5qnonf0Vosc3wiw9A2QJ3TR8DIvQArti6+yaesrvUAXtNgw5i+k5YEYjAw6gbPnoPL9ateTJP
Yrci+ChdDSqE772VuzEcYu1EEcnwbGMN0jyx0doRQ2L7q/y2fIsfCV8jGNBV3Mf8/MK/utdstApV
4hygxUsA1UCJla621QcH4QZyPJWEBozCzuAk9rSRrka0LLfQo87flKursNsJzltTrKpnNL0AiaOL
cCXw6pLT3t4gTtBc6TDZiFPmscjlEGwSLFcuecvcyqjm1L1jreZGXQlY/zK7GFfNWXEBsHnaxrc9
AqdDyBVnMx1wutIuPybuQNLteoc7mmLSo0QK2/e1FDTW/j6FWIr3LbsCU4pAr1Qit+bj9ffT5Ja3
nDe6ACrylhL0tSGOchuSRd67g1N8rc94QpGtr4gh6C7aozO98GV7OUZnw7pyQQJCujxvj9VFcw14
lnrOhXkcVL7jX8PtQHJrsH5Dj7EtFTuBdd24AKKWb8pb7GwsJ+EZlUwUt7p7IZRpSxbODTUf7t+k
VdcRbyV1TNSIqhsfhXPPVRHnkHzGJWiWRtQO37KDEDn+fv4w67edxOb+Nl7FaCuyiyI7ev7OoMaB
q/Ag7rUXCOGDE++mS4LvvG1LxJK+HcpdeB6c0FsgW8mPKEUfKZJEznSHzMFO1vFjuIr3hBeFe55z
8ksGTHxy+QbYe5dertHOGc8Ro5SVeJwIzjuscx1HspueP+bFSb5sv2VEw48XlbAmQbPc0rfW01VF
m/g8t5zyqT4PrxAZkvjtuX31KL9CwRalr4x0KWWBfw031CcnV8Ijzw+50DfDdCagEFGfuletdrPm
WDZrxBiW/Ti54uSY30LxIlLsZ4lAZJroLnrach3f/l+uzmu3cTbp1ldEgDmcMooKlm05nxBOzZwz
r34/9Az+ATbwTY/VLUsk31S1atVa8F1e29E1kUUW0L7TqpDqMkgUbZPXBHDT2WX+f6EP4oohOcrX
/Ftp4SZ74+yxhUGrsdsLk6UOeCpefMSIYX1O3saHOZiMK09nO7UOquOq3X2ZLjVYciMZG0UUHUjj
YUQldrKe1em9vkgMEYpqbzlKhFqw2WTj5ZFVGDv1YhfbmTWSemL1qBz6YHyGL1QdVfM8yJ7wCG9q
lvwkwWfN5v04AtTewtDjdeISXu0nxk354rDkCMR84FS4yNXYMyaaHzBGco2XPIM2wDCBg95fvlYi
VTrvGxf4hw3a2cceqKb+LI+bvRxoWBV/UIPMmSiXxJ8O6j73mt4RxpcymFBcQLeLEC+THwEui6cP
dE3qz/ihuFGEvj5yieJvd+OG95u+sPUsUYgGGOstzEw7Cnt/jt3tbjhM9n/+R/P89oXTzCn2/P4Z
EaUUX3AXnPUOh0Ineqju6+f6OY5BRg7RDOMMcgd6q86ae3R+FN/iiLbU76ZCw/TaIPO5AiTWLYgG
rYe9mbhyJEF+wM9Y7hmG8peTgW3kdURhH3vFmetxmivznOMtOkKr80QvPjCtsh/zn977mkyqyRnl
M4V61kobcED5nKTc4GKXD9JX5eMpmHvSl/xbHg2288L6NkpnkZ0IfA5aEkrFlr9p1/QYqhxEvp/T
HkbPVmEfETZyESrJnN2ByrjLYm+A1Rc9bGH6q406KnyNVxt3WGLYk/iSPOGRvM+Bu/yJxPtreBWf
Wai/iYv1R3xUTu1H5rYOmyd7RmsnqBp/GacZxZDY9uPT+Kkfm5Bl8BZ/Rh/CCSuBE+Y1LgCA6Uw+
RywNb7gqkY/byGh/xqeUQAcExIkM729jctmc3AWzy8QpXu7x87UB6PAQ6Cy0N1GZfzahaNp0rHn7
IKL9z/1m7tM+TdsAgwDBbk6mAtnWY3fsfbRrhzUsPqEAb+x1OIH7fYBrDCvfvG9OsJwdkgas3Qu4
Sy9b/VERw6kIcRBWHdbyXp2Kk8r5JeROXrh6dJ6wzFJ8qTwYmOWaQTPfEqDfNIHTKIYxQ6vD71ZP
WepLj6jlOr+BqTvC4eSKgWYTe94gs6wd9EVvsGzJ3xhyxY+hkX10V4S/rPvmYHhB5INmuZE/2LrD
LH9UcF62a29+WK7RfI3bLyRVyu9WeOqK2Fl+FLJJWbEuwqmpxCM0ZSHtXSO+l0Z6alqsYV6yjZZx
h7lcHszPOIN1ioOicBiMzwLRDOK9xh3wOYy2J7UpPFhJNbZiZG7OYtyAOLXoXOFjQJNcIFTf8lO3
OoOOP7Qv4wJn6sgTRxeszKcP1QVJSJgpbDsovfnVNUOb8qB8sbdxnhBIS0Zps7Wx/EdGrnyAJYey
FOFK+4y1YrsAjIUEqiy8KztPYs/JcfxF5eYZzw3JaRo2DpcQlIC6mdg8HnvV1R5b/QweX2koMRJB
et/bCXckHGxNLOpzV9IC5CZzoGT5WWFpc1x5uDkUWCs9yHiAOt1taw6Nr/6qv0Jz6B39dw4UkzDi
vbmyzo3X3BtCsbenEMQEsW9MWAD9QVfs8lHCYHl2ksEDJO4GNPow/wCBthcg6NjVV/YKOj39lF2M
FY9foqPfxnGPd+T5RIeGDBJUe1kVyqxWGeU/9QqkshWXDjLiY5TdxYtDseLDeItU11TvUAzm8U0/
guT+53mw9xUcKbmncs0BZ0JThzzt4iqQeJz6LGxuhC7AjyJqSapN+Q+lZGUfS4/lP+Yv+THLfNbz
WkBuxSHbflLngxaf4dzKjn5Zj4i8j16znev8fjlBXULtwvKH9lgWp0T8FdQzDNGycj9S0REkTyQs
kj1MtVI7tzmnt7esdMa77n59hiA5y75YP06t1+bBrv82uuJznx5QgBm5Ap0gLVT0i9LfVuElWt5N
JGppryVmgBb9MaDYl9n4G3Lw4QVv1/hUP274BNqWb1h+0XoEGGsQj1cC1O1UBjVzXrsCNBrHkVNA
JMRA0I6k7hLtT4+pVD8XNyF/oqhzXHHVmUPtq+ckmO/x/66pHzB/bHmkNcWVDlNz6Eo07I9Lc1Ci
pyKjHYwUzqmQmdnDF4XdDJ4iJvN9/dVZuHgXJ4NsS7kfpSvhDOfjQGtc78y/5u+M8huQ7G6Z6VtG
gINRPgJJ1U/oPLAj+RjNtxGMOnpD7PFKkTaegsxgb8PXG4lWv8rpjDkY5YlmCNx7lvEfecLMPnsD
C1Fpx6hsGT8nmno0Z9YAv90qc8UmgE4dWR4Gw1VPJO/1hlvFwXWffgfrWlENswLKMXnpat9N8piF
lXGQYMMem+yMwcwehHGOaC6VHvo9WlokzsDRlUXees7plox6kU7fR3r0XATVU6F1dDqCiBH5Lyse
BoqZzwzA9kU0iKKXfsxzzuU2vy/zYB1d2PnIIs35KWEfVD9NAzlcvxWPHNmS7DTq1/yBXrL11UBq
JJf55VSCJvsrRwelRpThIN5rnk7x66wiGz0TxC70JiLO8ctmg2cLSPCs+BzTlI6hXavpYSVeFp41
KOZ+Yh30xq5eO8krk59IsInd8Vt0sjpMlycumj0HCrfSHGOwEI4iAib2uq14WAR3euJ44Hyyhyvr
xjwqlLD9KxaOxK8teLhP3DHcygP4lYMs1x06xZ/D+aMJa/uj+VEOy+v3Rib2DsV2+GlUdnBbIilN
P1M2pvXCILwaxDRM0Rdggd6GuHifHtJL+QBNUABjB5klvfsUblnsLjedh/SpuNN1gVL5TdgFiZVj
zDg/NX4juEXOhoqL8Nf0yl6KF/BDytzDShKefNBPpEZUk6giE6XyZ3UtL/mRG7KHGwKggAdBN/v7
wQvq/pUJPtsNmV5+rK5Vc5gfl5+xcwhpIOnS4XVIdVsDjGBWt17ZfyzMysaLMDiQwT1Mb9koL7js
rjxQUAlewUpXw9Q859Rz7+mZmS/7QbLcWFt8E5l70D6zjdUPY8CCy7m+NnZM9qxzdWPxsiILn1o5
eAF7+sIeZMuET/MhcTqK4KF0TrJ9lq2/qdf8QApPXKIPI3JLuNZ7Iuu0/8Rn6YHlzreUJA33gzvm
P3ltl7/pQ/lgnOrAgP1s65e/64mna/YtetsZ8vyeNhPkN82huEaYN2bvm3HsZZ+bwiyFjytdE31H
IATC4r1gilgNAZX1mr2Rk2NWM9naAUcyiOtfuReV30bjjg+yR6TDBln5JnsmsOpyz9QarmSq0ivh
Jf7S7zCAVeAC/yqGjLgRdFewktzGdmhLfSTqRSJaHk5KQcqRvgGOkDQkFgWspqJfRCQuSOmbfg3l
XbTTD/29p2OKAh/7n2DnF4ImzXr6NSDZevLzMvsk7ZPi4WxpvteB5JqBUYekGWLuKfm1069p+U+y
rVe+HB1sGm6wBzThJNNqMUC+dRMMz58Ev8a8kKNaOw/3Mczcx/muSHw5hOdqE82qyn0dHcR3HexD
v99dhn6ZQGEUcA8y5t0OW9boyFs4uflnd+5ku3mi9U34jmhaVJwS4gLmr751P1HEUR1sc218PM96
5b+231own+en5BS9ds8zByZJJ07MuN6YdvLgxINz64xXNMSk2vlcjhmUZE6d0nfr1Z0IIVzc0XOX
wx42e/4Z/ZtutXWumV7NAZgrT28znQC6y0qs9afUco0B1B6v27f5k/OMr/lAbZRYaHh/bf6VdFRq
4E3kbKrwr+kpqjr5R3F7wnkUO7kHopHxQ+e4piNePu2WKCVGzQcYF8CMA3Es6ED/u+JGTusZdtIu
1trir3IKrEdi81PpkWFSF3VHMEz5XX7PfAZSzO/iu3UORxmzwVNORXc7QxXB7oaALA+qG7FA+SGv
wZNBNYyZ2jogIAAYID3s0zYtdYm/gx2/WRfQgOb2lzUP+FtRPiGsmGIJQEGDJqmdJOxl5z7H5O5Q
Gs9NhGvHPSryzSuYb2PAhrF38Tb0GlHkH65L98ioX3CRa8ZTPnGrV6sjEii+ag4ChLywGm7oFzuV
Bu2VbyB0lX4UjXNU+dr2xX8gMhYUnP3/7hQU/RXc55tnC+H2ng4z4lA9vZ9sBQOwwxMtOGbyU5Tu
JJz4DtQ5xiD6V12Z9d9gI5YaLId+Ck0DESqXDe1Mjr/jI/RIHfAh0tlYI5cP6h+N6GRqjJdN42T0
Dk5HCF+BeRDxki0BWDZHIXJCHjRGt+1zNACfO8Pr8Mr/7YjbQXu1HtvqkVa/U6Q5+vsoHEi87pj3
A8FKgK062dvrxPazNR5hGLsGbk2+WX2K82RzVJkVN+AuxYUdla8BviZrYzEn7OqEv6nfHTI/a9xU
c635hQ/7IrnMnZ0hPmLb8QfoyictQ0bXI/l8Fe44hmqXTZU2FZ3CD0FU48kxBouEUnJ+l+YuosXL
YX8gH1xRP7ORUgizOSvJojkRYYelYBgm/XpcSnlhu72Rqze3kqxGz+6WL54Wep1YEezhPttVss8+
Nj3i0uh9fE6+SV2Ii8Fy2SBTn23JOMjZicTi9Fs0bvSeqjdCTNxnUmpCPfXHL3a35a2Ugon3YHq9
nVCr7S/NSqIMqMHSguRvF0joXlZcUeeDxCn9KtEK/UWnJbKMDdAMfZN5EJLa4zAIVwQpaHd6FWlq
Igs75bTYZE8iZcrcE9Jrb3rCHQ85bZ0MrFC1LWo4l/kZL4Qj0ifE1T6LTPkabnDJzgAeLWgNAaj5
TnRfgAtLDug/qRAhhQRmRYyA+RIivOSKsDo8ghFJOUjZdXwmiC3t/l9h+URUue4AuavHefYwhWmx
E8WZlT2PZk23/p21VxQMkCenKzd8E25gomwZQZ4cgZS4LAYIE535NwbO+adyKLYrJtOYXyO0Zs9Z
wBOFmJKTIuVHkqTofZ0vymt1zT3Otncem5i9RsRZ5N8mCE3uAncJ4tdim+/pRx6HbA1cTfm8fPFJ
bCsaCTsaDjhEj1eMP5cnRLBrx8TSsT4rX7igy2xwH8ltvkuXfQbmL2jkk9hElyy/GhousHCwbuxa
Mk+G3OKmHKZb+UIlWVvPrTO/JExC3t/QmcCk/qLDzrot6HVjceDCBLszL0CcIE0mhw8mtZ3s8UDY
u0pCrNwjUd/TEbgbs4eFTIb1xBqI+YvWvZZrQKmNYij5a/7EewF2WoKL3JM1n3FnNCaN4pK3AAmR
Vrdwse4TIr7W4/fm0SVAP9S8e6StDfMeOnAxjgxjwFHtleqMGVbWey38G2DHrNEOw6VHsPZF/6gs
X48PjRoSOffKqdReBbZ+rlmgtaWjM+dQdMGC7DSTJ90zj12h2yY2IbmamZUVtV+PcVAdcbhuE2mb
lwjomLsc7cWNwESNsSDHI+/A1XOtfDI/KBLzGTyd0W0BSNv92XC/A0KKOzPnwPNo2FKWJ/617Jxe
cyvZA03kZ1Ku+llcHBXHaK1w1OlAYb1meSc/zfLDQx3nd36d79nTFZcHPZCe4zpx4rFyR9xXQ7gz
MSKuoBy4JIl6PSUw/nmDXrPXc4zpnrOQJ87zUoUDzygTXZOOZfIrm4sxTCgNgD3kxQ2jCET5wezk
M/XlgXMvEtCufOOuC8DGNn8B9ucFlw+yPuzhiMY/oVSAjQun9g6zSg0H7n6bpCj1PksYM+6VbDDK
98iRQeWc56nKXDSABpbWrHgq3lBbGsxFafFzuCvmFr32VuRy9VwjQ8SuwFSKNHa4B6G/0TwZtB9W
6XBH3wl2K+9TfRCFfyqw/QX7PAkMbfLBSYAqR9PbJ63p6dIbc4WXQK6ytn/2f76Zb7CGkEtQSath
uuEZQn0cIQC7UeyOiYpLN2BsSu6POCrJcLA0IY+fr+fgr27rduSx8vtUxvcBxVC29bj3LHUZRm6H
Sa94XBWLiH/hLQzHHCw4diMSQRTAfF8QYHBodePR8Qi4xlSzuf+tcfk47pxf4nqZBPsg0Z82uhXM
Nto0bZUc1KZfmPINCgrnCGEB6necPURJAC2OObrrZf7gi6cbVQKBjMnne7kd/tv6Gx+oA/NodwwP
uHBO1qyqN0O7sio0NWTJlwrC4PTmIdlO6yhFYNGF/8Yg8mH7wqBBmsWguWNLse7JOKnkP6bPwLJA
+A7eyLBzh9ymanNHkx5grCsfkEhuN5y3H1poknv9ABoo0a877UvZkXAnbpwt8hequpYrPenFCfBE
yAETbsx5vjyC9SxA5fRW4z4bnEJ0a+Oe+5mZSsSDB2M7Mwy819p2ACWCmAL8LO9Taqe+grgT7jBX
oXU+z79oyMMb5SlzFbyPYZDMI8OwASkYdmdcEhiTyjO/kIjn2TpTr2N+MJQ4tkRl0EoB30TNPSkI
uI+ZwFKnCGid5n31GaR9XBWXvZ0pbLAs8DwfxhOTbLgfHymQxp2zr8XMGZ4KKJ4Lz9hLdpNJWDoB
JTbsfS0/rlxk7cUq4OpYx3TVETni59Rnnoi3S4lxcRU+bpbLdmKND9PwnkET62u7LsJSxbDPEWXf
RI9Dvgx8/OavVVCLIaVxS/FgjOWYo2i+qL0yxlzmFD2x9oz+xktud2dwNYg4H4jLI+lgTHYnuBL9
mz1lrv3BxicLio7skTzBcNya8O/x26UHgoOuN3PSbJ/VJfzPE2YvFYYDnEqeDxLn5MJ5R+uyZ74s
IVw37mwVPIaEtcjz0fqABVftVSenu1dfwPB4Gv3m1fkBj1dmIZwCQ3Zl9JDp+OvppPQZOh4UVWsl
8eDqFBA+ebDsQLzeO/9JpCqP1lueOr+fVwhQOdgmspT/syB7G6kIH0zuh/tjXJmWEXU7dccn5+Jk
fbUPEfdE4sRkTI88WNI8Lon73wlByPpCZNW9CDAfa7g9N4UfmWJwXT5v24mv3yfBBJRJQ7tjLg7o
uRYFKignWZlN5UKusDWhqRFIzR7ppsUy0QnYPR1EoUoZLtBjqr+xGK1T8g1LtXzc56uAZZU9meGq
+1n1QfbAJCPBJQdWydrq+Sm36Ck/i0vktcKrCMfzb9mZqq9P+5PGlpidDJSvfODMJLRQeqhwWBtR
GAtTDXtTGBXe/sB1V6UiZTnaS0LuwF4OvYsKI+wpd2VRrKdJeYDS3z6Bs8HksMyTJFRQo0CIHowi
ClgG+/pRHVTeBdltoN/dd+OxHukddxnqtj11LUmFa1E4h8NyF73wREX5ArMrA7mXXVZAzR4i21Z/
0DX6H3AU/trntfLAWAK0ihREKXu2qTMA1EN6EQqflTX2PoRLkFx2oAqYFDpXae3PbV3NI/uwLFvs
/qT47Z0Bv192LcvBNaScDpoalHhRxR7bc60emYbcxRQHJNACgToLFHF1kpIP0t02C63kDn9imKCx
yOLxBsyM4gMrDUYmDuD1/Cl8w1hhG1N/26OA3q75WNZezzMlvLHeEPdt6PC2nH0mjSHMcjSUNYIU
1LvcnseznZT4jspe3J6m5LRWrja9TcPTXvUCSki8JCVGQJ3+yF4lAzmh4AM1WQHYc9RPYASLMk3Q
tAcmJkPBlIXxDyRVIRp0xwrE4YVJz1+zRKr4mcPIrB1mO0W8GRES2uJJbIg5krB/EL54bSYhHxUn
Tzq30ISMGid5JXLaH3E7LqiZrftd8E7M3veXuotYQwcxMjklkK13qZjDHkmz7gW4n+8gIny90eNy
v68eKk6c2wXHqVMjWwwBYF33DWQ/swuQtJCdBILyhj195TNtRu2BZQk5Pepf6IZm3JvpiFQvxpdD
6vXDNxOeGkiEk1UFs4fNzmVCJdnjwg1BdmBVCL274bcqBmhT0ltibxMDBgdmxHn5EM8HYfVFoPPY
bXC0pBBT4CN2UjeMDUlT0K54iIi42Fj+NiMWa3NfvDNnWFJcGTvRhsAMV/C3nbMZsXMwRLEYiEXI
oLHzlJBWdIfzkbexXfafEELYoDjvBC3k7WMwkzcTLxdOCWetxPfryjY2ppfOhGdMbE7vt0PYwJfx
rZx9gGW85BkSnLFa8A6R83sqOJoFbL8XGRhWfquMacyBM36xkJPbW3KyZUat50WAS6Z97fEeH0UI
kgdsIcXW098BQZjWdLuamP3x7IhjyJoBTyuUz0c4AZRkiMS4e+ObTf4ebJRknXx1P7531SDuD9Nf
R9tpBkMP6y+EaQGYzOHcgTBFROQdDsWS6ZuLVUInVVWM2UQ2D81CADFukStEF2jhYe6vha6iWjRp
esbHs8G27dYfxw55rS7OiJAwgd3MIqNTaDCOGtbtsZJNCOfB5ETxLg0aXX1Im0U5SmOtHK1WgkaW
QaKq1DKkYe0jG2ijKId118xkToltHopzQqFboKkl1bvKE7p8PkaiMR3jMYpLe5ZlVtKsoIAjsokv
FsBZp0vzce3ya5Pqgi9tjEg/q8+zPhdOHPUGjRULO9egoiSdPOGuRiL1f/qIxqb9oNjxOUccMo3C
6YxqWTAaXkZcE8dmhdgBpvHzYBVebki3xVRq/38iiZGur36Um9e/v+pypSTIEW9/KoZlma+HBeSm
2tuCKhlBDgyAhuPcpjyycUJdAk5l/n9/yPEGEfPv9ZAYkEHlBufvloXbqU17jHHa/e8fSh9oWs1R
Mq8t4Yb4+L83ZHr2ba76iB4IOpB/f3TTiobs/17//TT1TD/8KsO1h0WZGigz0a/Hj4VY86NQN1lQ
VdtJwBKNrafD40JdkDc0DNZICt/fHSL1v1drCjBCOwRECmh2/Ph3C//5xf23YXbyL//7yyaP8MIk
Bxt6sJ7OgAn5981/f2T7yOR/l/P3499fIu31aolUEheFbqW4FFvySk46ROj/+8e8v/z//u7vX//+
Th6Tg5LpaaAY87k0sOyspriF6tI23pyRyCWxwA7QvnSijHdrm2AwTX1DjrFiFSfsymQdlrl1HjNT
97TCqINeaLDteRI3yGKaucPbGchAtfzrCwRRIiH6QrSuICJoj3Vk4TTXahRGEHoJMyC0zJggEExV
fK0EiDIKyjlSszfSJT2YZ2NmhOQ9nU14pa6tyLNbR9MW1vm+GTiQJ1HDp7Ro4DSvpETFXbfs3YSm
mmPyZG4HXF6+yv7WaQCCWidVTyKlkJR0XUzL2Y/NNguQ6aMQAkiidvoDhhf3rYi8oqJCfG3nCG0b
whN8f9JA6/TatmjQIiUAn6tXX0mKzEtVjrR6Gh97eJUNqJWZY/nc4HSoTaGYSgpFuK518UigamiS
a1nadEDYBhyqUT2L5j6vXHjS8er31TC43Yi9aofxMyZ+ZOTtz4LzKt9HGISjrxc3FNMzIadazyFE
76HhUFVIXCkjKxSoymxF0/utibgX0kbuPIGPWqLiNzOMkFIiwyjr9KUWhxA+farPFGgz8ufaMNJQ
2uAgoWiVmgCECLhElInGj6nmoXXtrIK8vigWuUO1EG3iDEEktbhTSUfb8kF/4Ag1c4Lxr9iJkry1
aySQWOL/bYw11nd19oUoiq9JufZnBeDgAk3/UEUBZgSs0iPqURvYjoiJNJy2DB2seqwuZSvf5D3r
ohUiNIEQoXrRQWvAPLKuizWzaibBCMRkfse9ml1dyCEFCuZ5HBbtTuTsMsbkWC3xRmAP2bNJ8ndj
IBoVtS8rs7RzPHLAlRqNpk0av0o6mSE85jEU5PWEMxOe62JVnSxlolFC7KCzabVbSHt4L9WRF89V
caEdbK7n6dx3E5YtcvOw4UYdphR6aUHZTpKhvbWyApVgEoJmTGsWkIkuXVDIcfwwV9de0a1XpHym
TfOsWTFP5VKFWVoP4dho6C019UkTuothaPMhb4cPPdYkf55buCosXqcVjIdRSjn30jV1i9hM90lE
npMaE2iO8VMhIocwEr1tmar+tALhXFwqPpopPSy6qnLM1IDMUPZVOKbiKTEkLZxh0mbbWsJUmmne
y8b3PEUfrdwGbPUkzt9V/TFiYz7MHY19tH3cKROKSUq+HdGKJfpHWEpTdNo58vnST3EcrE9IrPuT
KlnnrmnP9NMMJ/pWTkUkoQDU00DTAJxxBFBrgJA0aCdNk7IAqVokwug8KqX2KG6Pg07zbN938rGC
HEGbX2hOBiw2ed29TzIcZAu9P9IhNSI9o/2IZV0GZa0HkVRwEnT989xVH7Ne0NI2SsGmFHf7TKdT
1xJRgCvks5GsX2bepK6cIjWT0PI206LSSn2wEH+r1kFQpAPOerQ067TaVBZcj26b01PGOWINU4qM
J83eM1nxTlqEBmK0dMC2mhEKI/GWJteiL8fGsWwmDhYjWt18TFqHpuFQEoUtxB5rfVCTBPdh7cQU
Kb+KSL6YFeT1oV6epZI8bqTNTZ+prM09sGHSvav9clDNQThtKTQNYW+QbJYt9hWzf17FYgkVUTm3
DA2QI+xv7FiddVR+tZn8ho6rGUyAqGi3vVqo785xRiKEffxVU5XXzkKg1EKaOexShZiwBojqsCfP
Kpqw9CaHb9ZNS1hLOrzBhCqy4NMIq7i1QpuO2Oq3lf7XI5JGc5BGVuKsMg4ZG4GMXtTnMW2Uh7HN
niLJan024zyUs2c9rsW7IWrOVrwpp12yTM9T+WlYJ4o6ULH6TpBOs/GB+OrPso7poZzTf2uCjJ2s
JM8oFNFyGtbmh5Bu09lqcNxp1yLIaDqme0D8LHaKhBhRzzKb7iw2TXrOpeSl0ifyPCoZu6ixhAKR
35jT7Au5kXjIwr8wS52mFZqLXg6k59NM3GxpKKj2AlXAWLupAtJom6ajZNz8Zkt0znpZgU5boqHV
EHbWczqcEXiFDkDZpVUpA5m5pJ/GaHrCAa4PYzp0KDzsEAm9wzFKcJc0b33VKP/1hkR/gPQd0aRO
E+g8h72S5p6my68DdkVoqWpLME+N7pfGFLbaylGryjhIz6RHRqf6pVi8SJMCR6NfHwQjpiimoCZU
mgh81oiRJrI1nOUFldSWrWVUJ9mfRXk8y015P8/bO4KC167swQjyRTls4nRW0yYOhjSZwKDnmwpq
eM0MTP6kOhDkEmHAITZcQ9cqoM4Vioug0BktR6G8TAWphdAdB42GpF4HVGgHuXii/Qfj2OWMrPad
kOmWZ2yYV6oE9G3TIqhIs6QtZSAoGV59VVZ7OIF7xO/qZyTS+8xkf6xUCajcMMOUCP2AlwiK0sl4
FlZ8tWhDjqvOomSC9KHauELdZ4dm6p8tXWJrF0AVsVWjOB6b3ynWKfR6jlBldHCqTo5DXQTSzNFx
C1FvW9HtXUgO0XWnfJvANK0HsDmzZc2IEorPRg3LPJsudD0uefWPxn175Fl8Nttb202mE6dRRXbD
/et0vGyblV7W5GpijgNz6X1VF8isK9mAfFq37DS03XLuBAwSkuQn1nQCc6y1XhLhcdbgo+dW3/pR
Nv2kqxrdLCpLYo06q4rwxQVZyu+4N6JACBWtObQNpVt5WIABtjpskXG0Udc+JV2pPmh5/y0NU9Ch
dwiUAgjemdtbGkHEaOkSbtaVZfyBUQaioNvgadJEuVmKOIK2/E5aLquSYhjTUEI1M8WfJYsCoUGS
Qxo+1BoJb54gFVqjDSolxnuXWuEsj+8cOI+6Ked2vStKNMHMOvWaKNLOjVWcFmkb6DbfMSZ07fDm
rcMMHtxaLNykTIOvBkCPvijlQaQbhVlvva49a6m8XY10bC8IEwDrrwQsIARmMvWetDRXRUJNN7co
vS404uQJiqxztiHyKudfeKZn5y4aYQdl6LXpGpDroqHwMIv1YUZNVnbJkRB3XoTex5L6VdHz6zbO
+kUquhfa1jknTdibGQ3pssyWs6yAexjm4XTFUCIUAatJVmy0DqhzinPj6tIDiNlQlD0JRVsiE1Bd
KrXPQMAHsDq90bwi7o8oyLYvPbRFv6G+jrrDo653wBdqw5AVBHSTSJW+lSqg4U6taN6rb0M2kg5r
NNzR0RWmoyyHqmXd962YHsZd+JPgG+TM6CeUNDFd6GnDhg7My9JEsq7ItQ906DI3UbvTTJMxoKX0
0anttawV9Pi2bXD2xaPnq0fyyMPVdHXn5BKSCqVf6cvqq0On0Y9NGCGwMxVj5841OEiUqR81sa+n
lCKSk+jRLuJcQgnBuzhtMcJjkTZyzDamMMHxQ7NRV5PCaCpNR6lL+t3YJquZTovdLMuL+idFLMxL
O4Hs1nJ9qNO9DQHCZyUh57tE250oTtJBRhziQD6tzNseFUBdz2PRRy4WOiOEMBLqo5R3+cOYWlmQ
jBTXEeLuDnVtpPDnV+UsRnkglZMOaobqpKUtoT7TfmQaOLfi4Jkdi2JKOK9yMCmkSVVpUwhPAlMp
Vlq/1/jF1BCT3fKK3rFaeovfCoMW/Iyg3tWNLUfaGzilnSvOPFmM7lYj3/sFKJ9EWvEsiuAiuipJ
941JM6xKaGOrcbnhZ2vSKa+gBaHiswkNMAuaaMOtBJE6+hh/29VIjygrpyAn/ceoN+EmVD2QA8Lb
Wy0dow7mtoVe4rEDRqtiblY04+ugMLg9onetuJEYamh6z6YIjQwlaVfIRM2vq/5NEBBMVeTJImbJ
urBboaOTRQA5pbD+h204bvS/9MOdIE/xxRSzq6zOwhPprsLZ+b11GLWq/WnSUxAbk1rjKDwimBlG
FULhxkhVU4w4vouBKnpl3JEMuVWufM95osNrThEJV0skO+MN/tbwNkXLC7CDRvpksstpSEMaXUsD
hdWco1GZKUgUYU5yfzSajr2lTY49lX6hE6MgR0KKnkiGk5bmQNjKyh5mbc9CRdQTewXiZEzNcCR0
rgqYoZJC94k0l6FRDsq9Ok/hBDwyxdhTYd0Jtd1q2zvmJ9tppmyoYovsneZAuK0LPzKdBSdTSt+W
lGNVTFiNzBYWNCEs7UMLcsZS7ffQXnuJbXTVY91uYtXkDd17rcyKh6D3hzhrHUXFlCXaNFRytjcp
FZ+TjFLhNlGWN605gv5PqT9a140CdfuRpK3kKUtMkRKuOaLvcPBaqh9J8v/YO5PttpEti/5LzfEW
2kDEoCbse8mSTTk9wZJkCX3f4+trg86Xcjqzstab1yCZpEQRMBgAIu49Z5+OZVcaX4bQetTcvtvq
aoRbK8llfoGGOIEnL5BqaCJl8gASugo+QXq8EvuLhUxRAG7z9JLV9RcCrnda4vuPifNUd93rEClE
tAFLyYIyx4rdLRZgZZdmrR/qIcUdgoLEyGFx6/LQyfgcVCfL0L9VE0iG1FJHF9rAQjlCor3tHmqV
dp9ivX+zemwk0sEV0oUKgKobx49OmHwV/bUACv19sh+zMP6UDlW5bzMiLuNomJvOdIJq8vn02D4P
3JDWVKPeu1J1u4b4zgXcmo47/aS2EJTIZDBQNMJvedYmOguGmKmzeM80NHxrI37igtVt2shDKZlx
fS+68DXMk++FCyHeh8dRGV57ytBSdtxV3Ul+V7VurMWMBgmb6frcSmO46K22VikHCW5Fvi0tDx3A
ukpC896oup0bAwfN+oaY0dZcEnpy6jrf2pu+xYQ/OE9p3lFLcGldFNNugK6xHMYR20ELOCIU+9Sc
ay6zMbGvKGKMDUTyqi1XQT8xmYIJi8eX1kXJuRuU9tdMqTcr1fJN1NYvmeAbN0MPKOkkyAcxqEhH
7qbWmBW5rO0KiZXG1nADtlmJRR/B+GBDAlH4tvjWOX3sYFUTqrwUsUOpoIOXa3F6LrR49C6dKr6H
tCmbJn0nEcBHIY8HtULAzJXGU/qzliInMvxpXIP9pwtMM06Djarq6iUzcEF5cjPWZb4n9pnLq81S
zuuCp7auvw7dNN0l5JamOI3jFigvzI8M7SJQJU1jxlxTS4fayfdYf2riKtgEfd3+CMv8PZDtT0lj
f0TB/X9cHHFxug4Z7Y9Y0b/GxSXPL8/pn+Pibn/yb8obkXBKAnFT0rRNgks+QG9S/ossONNyDWkK
g0eAcv+Oi3OIi3OhLUvdsoVw1U+gN/1fpmlbiksEMzbdUsZ/lBf35wxUB84XKJp5N3TTMvW/JHFG
RmHaNcN+16RoN005cCubFO7VPt8VPnalItvVpa9DCkmZ2CSQhYG3xz/CCP+URfhzFKvxd7vhKjBz
7I0ugbwQavdTFOtk1NXYTSyKyyIv6EKa8kii8otb698VyCq/ZB0f1gXGk1i6y0bnNA1Y4v0fcZnG
L9l589FQhmFZNp4nV9jODMX7aTfg7kW16rhm6ZTfV15iJ+vRgIqO+NLq3H3f519jMNsiVF8JmtTA
5tC8MvCZTRlR9bXVdZee/PL1TyPq91PvT0fHtufQvo+o2vlrci0Wb6y4APNZrj4fv592bIiZ+Rpu
5SExGBHG6W2+taPyjnQLSfXbUYuBWv6KOCLtwJ2GUg1xkqsBIgjT6BrZf9eJnCW2zUyx9Q9dgeDY
GJIKRN02Hjx5qs0Mv7tigZyb9mn84yEp3GoVODS/ilGO66zPKVSrYLibynBu6oxPXjlzYZh1zeT9
/OyPUB1EjrmnlOLASsx/KB2fkurQbyGWZ0idem3vG9m78mg/AWXWcatE9B3rnVsiPwVvDQbbCpak
vDdnPa2/d4PCBsDqn392dtaj6VHmFaFa46uH1NqqoxxFzNr1D17XN1vpJvjLx+7ox3tDkp+CkKAR
lAlLjc519F1hMrWjPjgmcULaC9y4hVUm4zEz+8+e30Ub2baCdvNRp9kbmeSuJ7otNqBN2oWDe1nI
/pSHcbSvgmwlurm9Q51+Y7qr3Ev2MsC7FrFbcfpOnR/0WiFK5gvqrZm/kCwYzn34lDpipArXskDy
gedTJF7FU5ks+9o+KMkqIWwkJRDD25Zj+JaliCq578A5Kt/dbLrPFcnklgWxwTO5D5WfoscsKV96
dxbUdVnFdFwBXm+bu7ge0RehZx46Re3dGZeORb/VrbqTn9q0PALmwu00UmizN1Zl3k8ezqAMNYuh
nEfDEuSXGdG+a4No63fVXHYe0bP1X6TJ4k8biWfRBj85FEP5QhDtxnPvjcn95rvTbEOyTGRY3pMa
wgTb5JAvyb391AzNxY2TN8MeEROkZE5U6UQhzKKRihY5WGXub0bxGBrIt1Q2hneR/uJ3BaiOWZ03
LfSAtkeqDyAR4/5tyOkNF/Si6lqBGkpJcIqKJIFIOMcmZMO5HY16I/2WOW2aoWasAkbFGJDYUGEU
TsXr6BvOcowMklnG/j0RJvIxAyVl0tJOMITwEDiX6daA5I+CizpQZBcOgLzq5JAysQrL2uESYFY7
lVjoNCzEUMJuD5rDg625iD1uT/Wobw8fDykYpBXxDDCh5l9oTvlCwAhFrLmlWAzBnYDMtAHcRINx
/lHnzzjK2+vbQ9NmXwxlJj+95fbz+NaSnB8+/vb2s4+Xt2eVM0zbSHN27RyrRVJ1OC37wX7yPdQ5
t5+1cwDZ7ZltTmACxuTJDDIDkcCcONaHdl4fP94ISTNZ5JUryOzg17eHXBkBPdr5NUMGJhuHFB2F
htrl9oc/fvjj8fauUMWS+j5qm9vL6o9Pur0E8wHDZnH705/2ZNR1MndGY93UuJPt0oh+7OHHvkHt
Iarsx3ZuPx1vO3/7ePe2Y7en5W13uYQgNfIwws3zNydSb/TyGF4aw1PzjZc+xihq2pw8vgPrskJl
0gS+3EBfJ8FE3/Y9mZEjSMFqqPpDMHSfQ7v+nrZ3nTdGVyHMU5aKQ9Zn3Se3nK62BZUKJiixcUg3
qdsvvAJHKIne6c6a6P5zXuh7jQs7c0dfXpKq2nm6/2ATTjFPIrEjudFDhI4qEtadF+tqN5YN3lSp
kMa28OeoPbYBbbC6smE9IoR2/EJsDfygQTZizs2+GTqMiAJ7UEMg24Lr9zxhLd6aDmN3RsUgs0L0
+2aF7sGhLxHoxqPKkALkYM20wQsOU5DsbaLePkM43Hpa/Vq7I5YBm3n/nJNAFDxSV7/8lE04TAav
RskXQPsIrUKRuUKzVncxYoRj4a/GKUHERHGkCamK9Swy64CGRp6kmPvxPFXhKNdumKKCCKY7ba4H
cP7+VpJ8ErRItTVr2jTfY9cXJxGKAiEB3kUzGNo1fTRuWoo8L2FP6wqJmqzbdkO5cwA+lrI8pO0S
0sOgNTEKg9tZZlabTsMIzA2uHgLn3p1gvpqjtzJtx9mE7feqT9/saXrp9OoLna3sQevccmciWgJn
BZuf7spdluhU86lbovyI4Oy/M9+DTEg5LG9KQDDBmEDL6p7rAVaNW7XQHtwwXwvBfVSvzGMQs2xQ
+mGAQLuo0MF0jQ9faDK4k6awJEWEKbDDL4eYs07upZ5j3zTozxRF8B7m3SEtjaNTld8NCVBg9OW6
KCFEBF9Dlrl4iKNg75btIXXbtduH1pNon7MuNI8GFdwFcEUcGrn2aBD2uu3sdGsZmPJgc72YaflG
BATWSihYa3BxeMdV0qzy4miI4ZxIAhztfLpMGgqgCXaiY2qzg3qOUog8FCqMALMEWepae2i/u9Ex
T3EybpliQDiYLRNudCfMgLWtz3zTFn6xw2JgYGIq225Y+yMt/bqJtfuc2cy+G94ml+EVe/60ibxp
4zf9tzDXaZf6CXFxrO/D9JVTfI/25VMYuyl4W6DCFUVTN8NRg4wqyKvPyH7zjhCNuRzfPKReC/60
Mp8rLH1WkGGILyQ6FhkgAi8wqEqiKwh7WaviLpoSCAxdjkSHGxQcpViVVDI1MzmFlX+vB7T+nemh
E9bDmOLl8iyJVGgYjoEXbbQORb8p7pn5oU6hnkEg3E4LkW0If3ioDDvdiBKbJr2cd0Vi3MI3j0Nu
UT5yUwWesdjKVP8GRDTFBFO82hlLxd6l/ZG2EvhGyF1s9pUp018oiJuIxTP3LKzibohqcJGUVTEJ
KnSirYbPUU+bg5lC7nHLe/KlsFhpGFPG+LfB689Qqa9VzKVJpYxD7VBKpJhTP94Poc+BHiWpavVc
Uv+cS7q6YAJtLpNEsZMCg9EJS5IXUD0P/HY9uA434WqsV05u7gq3Q2XbOaiwokVkkeTRBbjFaBs1
mU3h3gpPQkCx8Fe+6BD1DONJNAP9Vk0/UcNaDVPXIv97MKcAzp7Z+3SXim8FYC+aQMY1gqq46G3r
szsdZYgJEgrZWdeTz2Mk3uSgPyNmjzXvixZgLbari8OUNojyR1+lFaYkcClKfs/69IlIFMBP4U4d
xzbvViJ1g5Xlq+TiJomNF2cc0ktSCmsNd47V1Pyb289+/NqAubn1BeXEvPhccpPZJZ359fYur0ir
ddEikaNCVl80JjFbU2fYNCYWN98ztE0Up9llytRIgwvpeJCOF5OiemNq6TopMSLGAhEYkEdAUVXB
2WhOaC3L2VEOIRRdGrI/qb+7uy4vx5Plly56yAyxkYeuvXbPVmO6595gppdPhFe5LYSKAmmfmLil
eXox0E78HKIYuiTznth6Q3W3BmbcCpfD16HcV2Cu+2rqUDE6Dsfp3W8mPLhWzsNQUUnsuuc+oDJi
xirhix8BM8jBO7fuaJ1xksYT/6dKzb+6Sc+qMN8gCgLc0oZvWmHhKqAca1i0JJtB7lM9vyfSWiBs
snHPxqvSnNqLTGOYNVbxrmniLnatgbKtf9eblsVNr7Euht8hj0yS84seQf+gkrLXc7E3kb8cKEKe
7d6ooSfoSHVNnYponZ6KkUhFqdX8LcStYP4SizSNNn4SeLRvciyytTECQO/gvKGYGSt37ach2S4D
bVG7VPumLNpLXJNwhM+hz7z4UkdBuTPG8iXMAaTYXnNUEXFDapgevLYfL/Yg7YOBbMxP4/dAsI8K
v0ndsZmUkRVPTn7pnfhsoAZj0ug8UVOmL1/ryL/LFW08ovP4VpJqKFj7jd2FtKR9F+tz1388BBJi
cGx4+4y58NJ2MswVUwk5VGkwwNGQpnVeHhVC1oxMwksyPyizf+tlPfdgGehiuiZqRJG0i3qU56Jh
5mK7MS0qz2su0gpfFLzzXehJaKcQsNNEL/aeOX2X+XDvqBcRrhgW/eH20M3PtJw2FOZgntatMVGL
nZ9afiu5SbGiQy5X/CGciwJBmu/H69uvbUicCdZj3hncfv+ho/vbH9a2WsXWlOP1zvvlTaQn6rE8
3J7d1Hz/68vbW6pZ1nd79vG3tz/7eHl79vFRkqomRks4KbdPvn0A129Ha+Tem7V2mk5E6+3Zx8P/
+jOZ2bRr/u7vSi78ochjohIn8M/zJ98eqNXP8et/vAYQXv/4zY/P+thUaKp/v9NGzu519h40TqO7
0Y/3//R7324xLt4+NJaCZPaPz799XtuCqZEjBgq9woSbz9uMS4cL9e1p0tV7BJxfErjiC9OL7gIt
S5h4WsmTcKAU5r5x10PVBqwyQu5gibePfFoNWQyDEHw7DsaWJl/sp/dBBE5qgCRXoYvl2LSLQKTk
kNl5eh5bt1rYTToLy7zkLFPQqVqAmf32svON5BxqiC+0wCG4r+jtk1FbV5pDQOstltKJ45lrO+kd
Op2i3YXQ9PdSSuvkgiad9OrRpckZ2NGu7UAYRgH49yKAR6Rb3MOMQCwJwez2stKRFyjsrZMzVqeR
3QN2AA10VDu3mfLT2B2+sBCfTl2m0QGdn8nKZJKQK+6080tjfsgseSDLOdrTv/v9bf5kTCc0hADT
DUypGRGABXsyOb+FqcjOaLFgZ42sCeoYTkABwFY2E+CVBoeWJcxDl3j+qZkfDGoXdeQ7+6gsjUXQ
z1qPi61pZwKj4INlJWoW6Njc2DhGfCDLeW4vUz6cuJoOJ9Ktcfg5iNjnd1S+BuNjFo+PsW+u60RQ
B3KLdA4OoMIwhFeXiK3zJCX4BY9eo7KzVwSGwA9abHmqLncysI/ppDtHrWuIWGVNOSVEOucqgmc5
hM9eSXh0E4VfqdeHW1/m+okmqn66Pbs9WP2onwi8mJZmkrFewohF7Uez+ApAzaOFvL2rGFW2oTJD
9oNUzrFMM3F0EEpllXRXo+G+KpbzJ9epqkNGS1ebX7XzSGF9QZ3SFlT8//hZ4FJaQRSJwuahyJj1
RlNqn24D6/YMUY6/iRBSLVoDmZ5lNqe2b8XOSSfrpPrG2sZR9DQp20Sdvhxih+it+Ve334u+sE6y
2VUEsC4Ck39KiJnX1/Np7xSsKMccdz8pEgvX0VymWtI7mXqqnW7PUNdhgbFCkjPT4hymJ7cJayIC
HVI3LUfL1klSPk2teahEj3un7LG6xV18EuCwT0CjwCNulT0Ym9tPfQ0ctrAAnWi5jE7uH++8vf32
4MpjJNrPFDpjogvj5mB1KaaskTtxOH9ZQUoXSc7HsJkH/e3BQGOILMPAYQVqrA6c6DgF/e8PWugD
ZLy9/vFU0yJ41GT2AuOdrrdftPOf5FFLSOlPb7w9vX3a7fe3l65O38iKca/+8ouPrd7e/PFSNaW1
slumvB8/+9hoYdXpYWyfrIjkxkUVhPFPu174giWAjaH1Y/8+duVj98rbnicdlTNE6c7y9pueAafs
SN9+vO9jsx+78sve3t7yy27c3nx7X9eErwkSkyrCtufbCckrsAg0p4gf49Y9yT5oV2mFqNdOQ5h3
FJwhEljkSdvaJaoAC/pUftbM0rGMyQDeX0AknFvDTcvVEcz5q15pOBdjxdlQOTg1ncQ45Ilp4kac
7n0H7iOz+mBspjs/eqpdfZtQs1ibVfyK7sTGQ0wmt96w0rVzuvEWZ6dNT3BR6LjCWVsG32S2pVUJ
E3bCUN/3w3SwQ1PHl1Qwgk1jCzT+Ny8b9bNok68B6xo4iYyU3hroG6K62LMT4LqIx8TxQTCkZtzT
qvPPk5d9S/VRPnXBc9EEm6IaoI+iCKs6+JhV9ynruM42DRqlkcXTcpJdtY6z+DdCfAGR9lN/sksK
SX1rvbZ2/Rq3CYAaKh1rsl9xBg7RpbG732pP3qcOQnA0rX4Q18fIeGKd5hyTMVlPfEdrruceLhGD
kqrsUUKQkaq1gXr0HB2/cTRyJUqhG5MjsfJG/8i834M4WWwmD68joO0Xp1BksEDyyjgFH8w8dqig
BzjTyJPdKj134DDV8DP4UZbDXbGo9xg2UelTK+K5vf3Sl/W3Rkeya48sLCaAMWHxdYoc/zGt461U
aPQYJOe+5/af29F9V5rhxq2GO62jPzpS0OFUtg/JbhrsmCWYtmgbUX3S0dJXMU6wttPIaE084Gaz
gDu80xpRbyMds6CyxWmQI2iC3JwJJm1xab5FHrSmvhuLz40KDw3ly33eRbRsYZsvKX7hr9eMiIzS
XNzZLcslIoPgFtTTpusK5wGl+SargNF1uTj3Wm+cPXQTUZFahyTLhlXiBfKI2ufNzHzoBpmP12RM
sH80pIdSOwP4g5Z066VQAmqvhfHm+NqeCQnhAQH9eZbEaz3VUcS4UAIDu5v75pP2qRiDSyv7di+y
lCpHK7Kl0xbmLh8jUAoyhveYKxQn7Vxpsyjy9dtk9FsclUg4g0Rz1m0CkR9FdTSIaR1Lx0T9Jvfo
L5sfbbn/b/p+Hou3//6v5+9crlZIUqrwtfk5qMtkRvePXd/zc10/vwZt/dY09d/85e/NX6H+xaiX
dHZtFJHC/Oj9utac5CUserzWrS/80fsl5Is5I1FeQgrHtGyLX9U0a4L//i/b+JdpSaV0VyKlv0WD
/QchX/SQ/9RTlNJwdeVajuHQVNSV+eeeorJGaowF2EK96i+5ra+8Cqd/UFgb8sA9bssoF/65kfl3
WzR13bZ0V1imYf2yxQQkvz0NYI7QLHgIjiZZfDHFqbc71Fhe0C7/eXO/Nk3nfyAbwp1lu6Zty7nb
+1PT1G80jzieuNgZycZOUAZr7ngtpvhZUHn/jzclLTr8usMGdbb2501xMzFUXsGCHOv4PU7id08j
rQTGQey//POWfm1R849iSw6taJcx8JdvDYLhxI0bjqCn9QraCDSWOsAGEA9cMf55UwZj/tcRIoWh
bOnSf5aGMR/gnw9goac2FH5Kn+iGWZbrV1lWq0KK46DTVBal3iEt3htVw0wc35rbuRdqSriPs/M/
74r6uz3BYkxf3jKELX85vi5aSa1RfbFTSkPsRNRxO5LzMlwNbbwOxfBQ2+4bWWL/1xH4myEkBW1O
4aLRmDUXfz4CmuHk6DdyhpAW7yPcRiYe/yjvH3BUPlQtouzMP0XZdI1kiT1ZC58ru9qQBsX5Y1fE
nEnxORLx538+GrcD/7McYB4EwrYIkXPduV/wy4kkaO6aSQAyr7HBtvgJIHSXrTUW5DBdNt9b/dxW
81o98pAcigbVcvJpjAGKF233KJ1xMU7tphc+wpY/tC9/o1T426/JcU0uT66uc3n58+Ga2ois4Dwt
dqThVSjSWVVVbbcaR5Z+vc0Z4dJ8NpvfChNm0z9v+i8Sktsx+Wnbv0gkpFR2x6Sr2A2OdYeaFqyh
HwN1HbQFvavroCsORTTseiFewvBLViFW/edd+NvB8tMe/PKt9HEa5B0uvh0FaNh3LunhQ/Q85Vqy
jLgk/PPGTN3469FGWSTnya/LEtB0fxmcuUfwd5oX6S7XIVuV7pFqz3uvI3Id9Y5pGm3rMlt1Sfil
bTwHySMi1ET2D05lIQ/sgP3o41HyN0xrjspj7FikMQ49iJZavxb+zGzoLr7ePtCmfMgjmMj508AF
ToXRs6A0wsJ2uE4J0Fryy/1tK1Jk9DmfM7+/FUyRyGons3qbj9bjOFIZZV66rOXJx4ZaCgYofgpa
s02rL6z2kk2oW13HYKw4y5xEl9sJNbB4tm2x7xB+BgbIWhLYcOZ1S77R7OwGYbrUbFBj5fjc18N9
WM62MOvgAdTLFfuY6dRd4uy+cWeFQZAhw0xbGqJBvE9Lfzd69KCi6dqU+o5ObdxGz4mrH2PLt5Zw
V1DiwfHpu7Wponfsde+5Gb3P48lUDGGDOsgizD5ZTv0q50vxfGT0uDcRI9Z4FYuFO5ivqMWpEXfB
uwjCrem657quvUXPv8sYxA6J5ueENC0Hfjz2o+vt4tEI+kJVA8uxAlg6jOmzwTbtigNkcsXrVcUH
jOODEcLZ1Nvnfu5Py6klsQHLSwclzkOCvegbJv25gQc0dfla8gGgaUqsiccFbD78nhO99+CNzVz7
7NAfYf2evuON2agqeG9cQpcsN1jYYwrfINCPBFm9qgCl8cA/Veu59DiTfu3C7kKffJB48x0JS6vn
PmFi1WsU18VCHcrAuCvylsbP7Eb15ETaimTATlcluwelpl2aOjQ6O/5e1Wr9Ka6pU4nCf1YOhyDz
ylUWfi+74WgTzDlvIpv6h6CfB1rYonbUr+FYfqNctVBa8mxNOg1PjhSTnwuJVchN9KvWE1ACIDHO
42cjSp/xP2KgHq7EZpLfAD0u9z9ZOY6ksTIeIlmtaG0wpmjyLz0folwKTFixqMdDy/i0aXmsMX11
GS4rJYMjdQcWXkwvJvZomQXNpixCYEBl9BzFcOG4OyLp6IgUY3PmrHWphBpJqbnkb6BDjHvHbSD6
4WjhvDrd9t6N+fcNRvcw33ejkmVc+GwWCCTK8rlPOUdGCgENaIDBwFeEom2RBPp1Hsr9fHO2dHHR
WkTvk5fukPkxTrmpbG2stWReXq0qKjbEUtb7OBq/GJQyT/bAvrUJECWWrvMcRnhVAULXGxgfaHkg
AaAtZzgi6HqP5hN3ShkHlZZ8tUz/k9sAsfFcNn27lMgQN6kYrirhXMmpn7EerfurFXCfMugUo/qa
GSfTuCESEISFCp6bjnkEKUGcnDQ6xvGxnpgT3i5b3XyrD5AM9wNDCO34chgSsYia8WrMXxSsZ/0V
Tn0Xup/0aSD8yG0fQFQH7y7Jr4tE59LXVD493/iLW8XPWmnvyrD55oSHjnVX3zFcDD9+llrRwGMf
tqLllqV6psCDxKzVl5q1vb1BtVu/BPrZut1VztfMRmO3BsGuWxabMtiKx31oVWnWpZYlVqrxOIwE
hkDAJImhcpFaTdVwJKtVw+/knfWWY6MmDWiFjgavWw8VHBdUF9SgE67bmvJBU1XDWTpIHMbBvJLh
x9klsCHPV0zRtOi65uX9bfVeGY23KBpDrUNSbPLSS1beeXJ8hwosB6aQsltDepG5TZHQrDP0+rRY
rHLvNjOwEasS1sEBWbPOZoVOu28sQ2KJtM2oaXJpNuBQSEFdSNrhWKnsxwC7A22uQq2TIvoy+FA3
HXAQGOg5cImhryON8yoJOFaiH696gmv4NiBvkxfRRu/z7UBPk3fHFztKlkjvxmvTZIR3Nvr30tMf
I8j0nW586r256Rptkr7LwZ9IPHy3r2hsnlqVbofUP9wGf5v2+QqU8qzh0kIGVBZlz4aBt8dI6BnV
Y7wZcaaghjMXaHTydT62b5gX1drJxWNJf3XfU1g3lIX5iLIzYOpC4K316o3lV19KMtm2fg0/s0xP
jdLcVVUaL6KFtOVNsY5eIyautTFBWEeludJ7xrzla1tYHCFfYAveBCiTdCEE4b9FQjEA3Kks/+D2
nD4OWAA43M2q8+dkMQD8QEIBtI3TLqIpy/Csx1Vp0BKmEbwPM9g1QVMOK/rQS05kSB4CknAB44di
lMnweytlczFbrlsj90x05W9Cx2aSlhykDnlJkSC3bOVQbCyHjXVczDF5AIwO59weRAS37y5POIe6
qXkHd1JXLc1chkuTVkTHKvM5Dka5inWKOh2WKLOSCIVmg6frGs/84QWVcYjmoAdtCpjhNieyzeEV
9Q+LJAzsqxFciIot9LQJWYG5E9DYD1hfBD1l1hRINMYEMjdQIi7bt0EHWUqeVY5lBc9M/pA14poN
nAKB1xKJ2X8y52u5Iy60DEJIWZyifm99dSEToMbk63BafJ2Rka4DnBCta5I3W7wWtXOlPP6WDJy2
ltS/uL0L9isjPdSaCtpWoYIc1POMb4UQADmcSpYHG7tIDyw0G6wJPtw+v6eD0NJ6gKnX+NnnRhQh
rL+mhVpKh9/mvriaRpHvJgC9qJ04w5kYtJzLq6wcnFM7mxiyR7OR3WNWCq7teX02J/k6pv0nw5X9
S+TLZRCLg++P4hteAx0fw5z4G+U2hgoLpYxhwdrrw6+yJksTkVV/0qRzhLPubS2CRElf2JZeEZ79
ctBJp0LM0pi+jUU1ICQ1yF9DBe5qKvENZtoa/MNVIcoQYwgdaUi+hNxKVzrVvWEq92M5ezGAouvl
BL6yIAqrGcAl1SkhgWWl6UThluNqNEfIZALhFjGRtfmY9QKd8rfbmtxm2Pck9jatuyXS2tj4GF0g
5JyyUHDJdMx7Z6gyeMr5XSwaGBbgroqgWCkis9eIRKAUj/JqhGO+b+JiBbdkWvppe68bHW92AXeZ
tX+00/JY2m25aWe3kMCEDX6eLmlUNt/xW17aLGqJRmk2NEZwzBQp4Zp2yUkRP6iEUQRhuEdDUsxT
BnrqMzKqJqbFQ7UX5MhzPUAVBtM8x31F08dksyUep+njdpnkd5VlnDwXlVSoVfnSgFsumW91g/2V
rhp+JJ8ruebHTLR8Fial1XDqi5k6puxdlyKMHPJg61psUJWOQtULpyJEQ7LpzBYKawjAF89ySyXY
URV8plHJrTvOAtMQiF4V66u2yUmUoZ+6qGhpop+pKNKP5Skw6kNOhZE70kBvpu6o5YIA70mmcXIS
orPGXhlN7K6R9SHo6ChXh5xp0wT2JKHRiQsGb6KEhanMbOfKQl+5blDt+g5Ztw4vvka7rfwq3Pat
s8s1z1tW3GFWTQAyQBTE22gaoC2fmZ8BZaWrcekqDiryMbYummbbOGW4dkTwblXugXMwQb4716mt
nEUmTQfqxMbSG3x7P1VTvPWpE3A5I2Qyyx7M0ja3UxocQulbu1ZZq4C7wnbQkBENZnBW2HIsz/+S
IGTfjF39kpSah04uBSBpxt/ypFFrK/laCsKddROEpgFGuGzIhbeRZctGfJZuHG5YvYmNF3ZnMdZf
lMTEjciLmJswyFeuN6x0k7nB1EqiM2kTZBnTdDR1y8xgEEzzlFIaZrftWnVEVkyWmTKumYkJSI5M
0zWmyU6I+HUskuf5hvmjukT7EvJyHDL/iXKGD+c6WQX2U+eYByT8cKbnSUHsTuT0Tdox10ru7ybz
LAyni478OOKGuQiGgdrepq2YmuGyjOxZ/ZQ0I3dYVjNR18C7Tfv7QYl6qbtqq0Ff2XYWX1AP3p05
HoJpjslkyc95lt9zTXrKpX+5TXWbiGWmxKW9IL38ir0EKrDfPBiLKjffmpF/d6WXzwq7LjPl3DOv
yCUXtDvBRmd6tw1JSl2E2m9ENzMHZdE0eH62nqCMzf8pk390XEXvU9V6TOKjbO0n3p1GQjjScX4E
LAabXdmCqQDynjHRSJEIGXPSOpRMWVWnQKJsHr1NAQ8tsgdcB3bL5zO7kC3ru9TTKOannLjAoTVS
mxKNrzGaF1vtXGtp56MQyEqu2tD9Qizyy5TrVycitsu34mfT5vj3E4l5Kes0TajoALpi2URkkiSs
SOgqcHDz5N7thsvkOo+pFBdF5RBRC5elZt3J8pJ78ynmTFeH+/SstlzlESTisS0fnXkZ0g+EkOhZ
udNKhO+GrIHM1KgQu+ykuegG/VIOay/MsOJfHJP1pessjBjJ1nzl9SVLU2s+slrMw48pFeE2bsR1
LmPxhYlhXBQ1/uCJG+q8LBWN+mY2O80O+U5t48cI9VvSTio1HbG0ryT4IFT9fNfzbrdSFIvc8Jed
wWqh0/+HvfNYjtzasuivdPQcClyYC2DQE6ZH0rNIFjlBsAzhvcfX97qoeqJeSSHF63FrAKVjMZkJ
c885e6+dHQ1Tv5GjWW4lZg1oQLOOhdJ5iDMPzAtXakzJ92buEe6FmyI0x3tG9+e4YXHcO3zwrOwp
0PZ5HL+TJT/tkn64T2vFFs1CpFLllSyhGNst4ZuG8bR+B32cB+CzlmPUq/egzqtFqWoLVR/r0fxs
yfmtz5kTVyiMd27gwc9DGQCGn8PPzPAiOtq1brPUgrgBhIbjUAwZO5d6EwZRzAzD4UrL/Eotpvic
OD2pYrVKlnNvPzqJ1wDgmlHaM/OsOSZae76rtQIDzowTpbsxaEPMYvHXmVxa8Ar1T6uGoh0OX8by
0ZLNpurnDCStvC7M6NajpWca8lj27ms1QCXHYnEpFha7OKTfTFWiK0+4Hjyv7bf1zQt1zaks9lcj
p1GRcJESsfHeAWkcS35SS3P6vB6zKQ8xvWcyN2/Z4dNYXgc5vRQBozEXd5MSAUfmdGUmXDE1mwlf
vuWTf1QnjL6oPjNBRmDCmW+CpRLDf1zLNq2m0HGz9pKFBotgar3eZWVVP6zd5Drko27sV82VNM8M
ysvUms/qumwQz4uG8HszcEyron4oWbLDO2J1iZHJsmyuAB3kkqAkABqFM0sMD7Dk8sQezE+EJilD
4UFA7luPWpAfhC7qOFu7jqgqVUa4Zn2ufhxocPT8om9f04kCRJ1oK1jow7emHu7VqUR9q9HSH2Vp
v01Z9JaIrwkg/LBlSpplBacZ7WY2jSvdI+1hidkrVAtiaDl6wmm6t51PUHK+1gR44ethqW6EXNVP
Qc8pY1GfyRDcTcv0Wf2ZUlM9ZU6KVSevbZdmpqPx3avGZd8aVJNwJIvk0eDoqCWNitECKz7lXLnW
2YDZ1Q5Cc/gbQWDWBCwtT7XWvk9Vdo8Ofr8AfvUiDn/Sbinuo+I01SXZJvT3EjGjn2oNKM40vYbi
8ywT1NwZdYdq+Nhh9D5bdDXkyLuOiJxm1HMQLBIdtWuvm7hRzamLOAfgU+sxeSFzdJSZvJ4mdkGM
rvzeuN/Jcbp1JECBtbEQfcrsGa2a4babemTHC2MK8M4DJ1Gxg4t5Xxpw79RKoO+FYGVGnz2l65Fn
zY+Oh+nlb0XTXw+ZsR/onUhb1dbslcaUY3eSh7ilOTet7bPkECutauQGV2OnNCac1T0+nITEI/Un
YuD4QvNwVzfjLuuD/KIHvAJ7LP/cDQyL1fEAMI+vsKGyjymoZs1FDSy/ISWgFgIcRkHT7cNpG9ru
M/KqI2IrdvH18GudT2YwUBuqUjsALj+ZmY/J7H0oqdnmKcuIKekCVd5zvR/q8F2GnLhtPEL9SFkk
3fTUjP19Nk6HuTLMHQRK1gcCHimwL1SRqpCkC7tWWqFqlWUTZ4YCcWTXoRRw1fVRMV3XHmlO6Ial
xGGFfTlqlEdJxNlAhqzeCnCjQxXSnIr4QuyMXbJeDE6kdO5yCNjkJBOGQVcIBAWgbLJTkedTg3qk
1OFee2hl7R0SYFARFIAUrKugQNbN8i6SrCaLDmxe0F6jSbywa06vQ/KIv4FhesspJrOzb0UziOu1
9iwWuYsTN9pmULM2nZM/Nt18OSYgx+egJ5cTtNaGgeubI3JWDNehaSGhzd/XLs0qj8CGvq0rtNEI
992DDQzXjri0FbQm14sdS0UY/pD3YpvSGP2Zt0sQFGiz841c8pavk88xDyx2msT97mL82zY5YQoV
eva1k11VdKMbk88ObTNtJ9bIgLVuyyR3IAhCdlKzgMpjhhSJ4tma5LvSJXgudvmSLkJsRu9JdZvP
XEISCGXUyZ/bpbupNErvoEwpojKbEyqXNxOj5QVF3nmtmQuTvXq9tqWSZXTnyO91C5FHNasX1Zoy
bA7MwkwV4++GLsMFw2qwMC3BViF5EKAZeAlRGFafvzVDTNMA8YTbX63HcqsZ1KjVcrOu5tY/lKXX
vK1si3MzRR6d2dxTX7oJP0Ra2mEIjfguFDUwweqLx4ARyt+VmPWXwGa5XTEECMLs1YkrBaJGhTgk
4kdPQFqsJMf6VBZhtlF7/ZTe1xBIWAJnHJV1cWiL+UULWKtUTny9eHejExJ9ECGeNjPq0E4a2Nau
Wq6lnEobA5Fm7if8aT6Ubd2tKAqa+VtgOs+aVZBLEBYH7Kmc3Ly539Re/rmqOz9Emoiic5hcdi27
IFKzGDZR/bXKNLmP7JtgKE+aXr3AVwIT5VDrBl172VohCZapo5FGBzPVnjNAM7FxNelD/zDr+WMO
kkPL7emYQgepNJW7Od1XHmIRh/YdbGYNpvVMfFtfas0TOpVlsmFNtuh6FrO+FGaW3ASl0kFC7piM
fq8P9fWQkuKpZUO1T43B3UtMcsRY9JCd66zdZ4JlQ9JPN21s6pfwyi6iQeFtXSZzkImGY5iMn5re
BK0Qky7Hcpvy6A0aKwE07qNtpXs7b9FFVdprV3qqRxomx6VyvV2lp895nVqHsbdTBKmjcUBDfluM
bkg6CQBT/CpgHlY/okKkpmpjL3Z9SoYE+8rk+OsmENzqX0qEVD77gvy5sUvHx4/G8l/3yHoLCxPm
3lzdYXKQ/rqRWS99myMHckZ5apVV0s6QtMcy3IFXQxhj8scIEkabiH6xjDjTiDoE1qpztgtgJm3x
KbdgSbKvra4Zfp/rL0XFQCFLYhXkRqZMCa/GXzdxGrx4zeztDLO2/QmV2x8262NJxcoD+ghqfhif
WTmf+DQtv8tHy19v/XLXjHoTE2Hjx2VdnC0USjuJA+1CKxLd/9hUI0FHAiLgboARgSIVxsopKcg/
CVD1a0N/NLW05OivxxroEGcBfDJpaD7kY+TuR6/fT+Y07fQovlyxvOumj1LTb1p1XNHw3308kQT8
oiyloyHAA/rrhna/8eNWn0LDBafOM86oepO6YXG0xvWtp+kM9yr9vk2Ffl/WaKvSgtZgFMhTVBRg
QI340ZQArayug2kPvBSsih76fEv3JfLjfNKrB102lzw9XUvRRxszzZKTlw0kE8ZFvJGuB+GxaACo
Y8m/iyMSDsEzxTvPKwBVC7vd42G2OenMXsvw1+3YodRdGu317cjvWO9NI2G8dPi17egV7qHveTvh
OFf3i5lX97MFBtUt6VOsjzmUYZ3Xy1tLu5kg7dwt9TVNsXnvLPGLpZckjW4nSkOJIyga6O4vVgor
XuGP217BZdabdhF9ExPCZ+m0JiWAMP311qC+hT88phPpO4TWZ3dcog3mYiJfDOdF051uP3lpfbYK
JyTHBURyPPmD2qy3IJE80DjDK1pxBQeZMPmhzN4TBu3IBpvJXx9aN3rq/bwLMAi7YUZkKye97GQw
ZzDoSfp29MobvEsH9nKjJBTFzqzr+c7rAviDauPO81cuR9YFjKfgYTYO5dg8YF64CJpyProQmQ11
FDvq6OxmTz/0VnKJ3D9k9wt2rlZ0ezrulzZyycvcCGGo1La+66Zrp29SpNa0w83GIwKQU802wk6D
ZHQ3dyL84WhuY7ALsquszRjjlbNI1VPE4CGVrr5ZrdKZOtGUAdHYae8BwK0Twq/SICIcBsqSTk15
yCbjOgLJyyjROAbdvnJSdx8A9ee1kgXd4ME2xkMtdXyeSe7e9EkXndNMANDHmEcXXAPhK4uvNRJd
fz5Yvc5bsOAVl+rNAD9kjbHe1IGlXrQY2na0IghLCcg6cHA3+uutdRNYzc+7sV0RiuO5XDn70+xU
M7lF9eCvfvJ5jH7eWh+zw8cxDJYT3WOP69xEezyKCY9rKyxHRuASKosK/aIV7ess+Fhjh0v0PNxW
Ufw5i+p2Y05wHapmPoqwezRSh28eu9s867uUnZnGwxheBrHrG71J0IoiWFYeaPlQhieLkqfIEqI9
Kv1L4FoqXLRN9GNUTq9eXT0tdvecTqwYxWweR9alVL5G4s8GS/hwNh/tZGQ+F2MFW8Ak6gU9jFbT
6HtYr7oBBm4Y2m8YMq66JusV1rvavZsV/mBhc8yOrn2KZkPuhIOMDAi7K0G3l2nQKOjX58TOv7QS
xhN7iS1watl9+GWqg7fZajbQ4O6LEHZPudjMQ6Z9qMHm5w/QDTSWm8rlkJgi87CkrPWSmcVt71Ys
jAznUxeNW5osm2qAScYJuUkmzm2Qi4XpkDvI2a6Rr3FmvjQL/0izRO/uxGVu7Em3iGg1Cjt/DiuM
u3bkfjK88Asa+i9mIeh7YUYlfyMLWcHZNuX3kjefRy29XEx/qQ2GcQbzXpk3hGBhW9DnzrgEffyZ
s9BVqkfNSVNAOaeuDkbf3xp1RQz21M/HJcP82WjWzhww/o3w130FTWMWR0jJ3VTAAWQ128CvpQPO
KOo9McgmXLs8loZEu9TxUkbvkSoEsuTT4DRAvZgpW1O2zutAYBuAJo550NwJfTj1DuXT2tFLvPBd
tYKmtaBC3rtx82LTGYEPDhOmhj0+NZ6OGVbH/IncQu8CCkj4+RQ6hkbdAtmEBonT3KYqUEqmb7Gn
P+C3xd0bUjO7ObwpXJEuTmgEB6qFhJSgpy2UxdmbUbvaxRHDnf/3ehtLScz+TXPl6VQFyJo8poKm
sH7RF7XLElp9S/vKLO1jMVOrVEKHp7o0FxMzEqfKv7DSIwKqJlk7z+lPqFYTpLptb+QXoCztXcuq
mwZFjG1bVQbrRxnSZrTcbWaOQFMpZ1nyqLZwez0lkimzTXHZB9Tb6H3ROr9Lk50A3qGLaf4Yl/hn
R7o9ZSLFvq1foE++TXZCpNGoWgfZfuF0zZKf6OJeu5TIWP7+QxFK0PWnDwUNqXCA5aB//FWXFxoY
fmmJEG8snnrkRE1KyareUjy5V8I5A8EOvWY7Tb27/fvfbfzF7xa6BIZkCQRQnv4LM6i1BhtebJUd
KzXxzgM6Rvwi8Lc2bQbNwMhtzPcStQgsnCel8ffGEeNa/M5Y9D7wcG402HVZRzBS7q7gTp4mi5bP
379L+SdRmKcL3bE919U902Ro+O+SuKKZitSSKbuNy7uMOgpEt23HC07DFJMYWxC4iHRTyd67CD10
VUjG6jF9V2KOOOZbzCFmoMggX5WKGK3Bm6lqOTdD/emUxVvS5G8ZrUL2ib1lsCgLk+i1bGMWt7er
BDHUVd2u2oFdbV3Xn5PZIVIkpChcdRqUCe8MguXWwWttDBTycDmrA2xsP1yIK1Tv0jUjMlMHRnFT
k11NiXUcZ1iGuT3gY4m+x8V48+LJ7F4VbPR53mQz3mdNO2ys6dlQTcZYAr0tWN9GbxAzgXya80M2
Rf+EbzL/JI7lw7aFYdrScXT5J8FqNcUlwIY+PcYw2uDFWzs0qiqGFlFDo85kqP+ZNObViR6NIuPh
6k1gvlyLgayfSS+5HNBRdp2YlTEA+nPRxeOxhXeeqSv3PNLPWfLMyf2I8Aoa3sO9FTAArkR5ucDy
2w/68p4vGlG8qFKw7M/7tdkcRnQszDDa5NFb2EKTqgT96pivTg0Ui5gmWTJy7m+oUXQ0KlhcWHUZ
qvecKGM83TfaDGVDu01yCd0l3e0YMZhKxYgXpcw+OwsVMTPtt9yoEAot/aaaOfM0gfOadQ6rQvV8
lLFZ56299j1LCAWj56CJjkTQovuae2u7Ps8NVgrmLhvjQ6QXb71BuzE39YMbdYy89BzwNHTpxHTU
aCQO92OhP7LQo19Fx8eiNZcazaVGkwsNA3+17XX3a6+90spr3MGnqNK+lwa7T1GEAmiS/SIGlnu4
VBmMpBRYOrqyFgQCzEhsue140HJDkhxEjCDjEngMSXWq3gwzmf0R2dQmzewnmyeZEMBsH79YuMtZ
nO0Dq78yK+dUKZGAjLlO4A08mo32GuYc5+qtEq9TRt+1cbrv03K4mSXBKqInDWPopyczIAltqitm
XF3jZ2X7+PenBvEXVxRhGxLEHO4tz1b8t3+TV/doTCytTY+m+pPV1cAJaUUhwfmmdefCSShacaOi
yCFTtFTDOzUwK5WSzlIahrrL/kG/+2fFt2eCYDNsjiODjuSvHLZulkB6YxEfMzt8qfLkluXzSbW+
sxFIVDMDZuFzLMfhSUmvIOsCrK6fTdf+h8/mL07uIO7osGGRsJBE/io97+N+CGRRxscumoje7jmq
elhJbbVB2dJtUIp/bSjViBr4KhvmLyGS81b1N6TSj6Gn2LQAjLZ54H7S+/iTYUUgaVjHbgiv+Qcl
rvcnmbxn6ZxzUMgreJz1qw6XBbbFGHyMjlOaAJNlio6yAvB5m2zcAHOnx13C3qWzs/nazgXRBEYw
+o5uNXjcaN948eWcEorRx26+Qz8BCkR1o2J8bsD74i19VgAOLcK8sveecBsheAAxTPFYlBrgY689
jen0CBSg3OoLqlgjb0JaHNYWt6r35FELGfq90TxoadaQbKi0eFrM1adZjkZqbun0AREZaaxlz5Xd
pcesLnpIFHG057DYdCgrH2Vu7GXuXctoXq68YbmIZ+YWGhTa0KrIUmk4bEyY3BtDiGUfe9pzU7XZ
Nka+yx6sf54zxLrEcqqe4yoVLeipuZ72KWKAq3ONiIzodpCckGHpQf5GGxWaORQCUzt5un1b9OG7
Xer9QZrkxmaAjFuXhnY5Jfta4rGWS31Ze1V1n80FxWnK2Sqfu+nYxPH3bozLH6uP/7dG/YM1Skhh
sPL93RTwJyDm+a1o39o/eqJ+/shPT5Rn/Wa72BZs3bUty6M+/e//Gr+33f/8N4WK8RvOK0OXyNoF
YzsOtJ9ATEsHiMl/jjQ4Q/EM7+GnKcqUv6nFn3A5BvFaSRbm/4EpipPvL6dllmk4hnBYCamWtFL+
smKrg44ArBBshwiCk5lkZFtS4OOQHuGIEJgS6oo3MlcHwQx+OMd9VvtWO6ErdGy38nsHCCD4q/Ki
BQN9Wh/D9ln7662B5r3/cbc00AB1jX1cnyyCV66D1WlU7DWRuXDW1C1T3Wr63jwN8EJ+f/jjufUx
+MU45z+e7kpcmdBvzqhJswWVQj2iZg931Ce7XItfhrwU+0x1D2rttFB6+qmewlOUjVqhRvxbKyzt
BxsuKUllk3V1pHJjuJvrnwqmmUeBDGyMNGCKRkz7Usr3oevrg4MKyrpER350e7BjC9ZWf920gco/
crNnkSP7mc1J4lfh8z6B/lo/R4cgdkAY2kEAivINgCE+v6/yf7mL+Op1aUN91y7TjZMhTbMjNO/Z
0l+t7R/RBn6FkvrACWny101mY/4s3JxliUV2RcAwDdeTB+KRxK51oy0q1Gq9aet9dcz4m0tQ8NsA
hfvFx9tY38ui3t96a93wPrp9q493XkXeWm1Mf9ysj3VlvZ3GrDsWSQ0TGe2OHVdE6ODFAWNSn9yN
JLxnZ2mmhaBKpcZJzWn9daNzlhVlMuA9pdrscuzDS5dp+4XO39oCLCeEzIu+j1W7j6VOTR+PvDZa
RkEQN3C2KrHtyYjZkfQA2o4CAo1Xe7myB2PYmKNjlsfpJtQGj0w39JemIL2x6E0HcUjARaVFy5Tq
ix/XaExz4gdhSuu+VRlINWuPLFO1PB4FmrQKJaxXupcJ7XdMGMPPjUF3/ai7ZGCqh+KydAFtRldJ
mbkpJUsAU0Jtgvhft8oZio7I7oPFenbmWdtKjqp4iVwSKoV0T4wsMprbbhTEx4L2xxFAJwmUjA4T
5snISfvWHyvGA2lpcYXTzRbiTdKASvLevTqHnkkfZ0MdLvzqx6urPCT+cn2l1X6f2hdULHGrm0dM
xQGfbn9n9YG1x3Oo78SAraM1Z3bRBu6qcFjAJ93o1yq4rs8XhmNVQSJplVSsQRquburjkLMLZ7Ee
wvLHJ2OngrBjrlm//O2FGjuEgRMdmABrTDiEi8wc5sUHEnE9Nu2VXrjeDGwqh74A6OiwWh88OqPa
t2aoI8LeL2WLG5xJnQdhFCFKHXnQQGvE4MGsI6dicrtBjtQyOUbsK7GbkwxcfaISndnFaA06zfDI
6Gve01GFLl3UB2D1x6ac9pOBu6DtRt0fnWDxZXZo9RqSkkqqIxmnYv9lQHVhhEwo3LmlVQNSSZEm
aQoVIHCCOWh2sOzR/yVRs60HoqEcPd82Ymx8yzKY6hacKTp1t8ongX0lpMb5F9/SaLxsD4H0Sziz
g5Z0W3ZZJ+PjELvHdIiJNrBVJTe0BH5n00Hw+fkUALUfm8bPW+tj7igGGp/J1/Xod1XEXb2G3y1l
mO8Gicc/qmCT4rZn/NoSOl6TJ7CD1jvs3KZO0Jeqt5Rm07EeOgbUtKDXh2AeY5fRRIMN6030kB5N
tUndbPCVwCUhsbGo2vLoEBdNg8/7eTD8uGnVzqbsJcnF5PqR5lC+egWm0tQMmKd5t/McGqfeWCCD
kiBmbTsb0A9UrclPwuE6Ylq5N/Se7BXqrNh0bz1gz7v1o2SCPcyWcR7jJWTCyerOuFtybYcEYOb8
EnlbPWvmi/X8u57fCrokkwX0ar3nKicZ7jOueE1cHHVRaQdUz3dMdeDfMFUC4H8VlwLZRtyTShbE
hNajdKKzD49IX+Jw20xOvUUod6kZcjzIIAaCqtNAX2+ZCFA2DlHIee9VMB/4OkAgNn6kc65e7wZG
/40YFYz4cPw3s/pV5Pdw2nPM77PCeCDIYPwa6ekZgV3PAceUt/anhNEhBExurhvqrX/dMkiMDiSn
zSaEcYyfw6MdDvsML1tAfLhVnugK5udFz/LzLPr8TE5KtSs1hn15RzOVGDCAOzOnmanuk1Og8LVI
IZFbBBGyP33DfMnzSe7w/JC9aG+l+X3BWrjuzHJXu+5dMTbHZskMUr468ChJW54cCJyeoa4F62Oz
rIjdzXR0iSPn+dZ1ZkRN9skpGPnY9eCREMoRf4DeCXZydE6xzK6GScfzqIgYPW2JcUZoMQQWyebU
R4S82uGO5KaTazgki1sh4g1tOCeVMZy9GgHHtFNzUoJmAhLIS4Z86/eTN8w71lvrJmIhRA7j5Fve
Ju+W8dCG/f0EDyiR1nUXD+Gxry0K2a5D4+K1W6CSIzNcNgX99b1ZFU89th8/VoudTK1v1k2hbrkU
obSOCnhtOkTMH0+A5Mfy1OXZ92Yab3KnGi8Nwfw6YsiXGgZjkAYTV4mOdnKGNyOiMQg2H5/D8ByH
5dvcsngzx4b8ZA0noD7rh8kSO3d2HvIKjLAYTZ1aG6kxI9ZgGp8yOxJoI3uYa+PznEKotvuAFKNq
QHnQ4F9Qh7TG+SUytWNj18+kqnxKA7RfkdYudE7mL3YGwabi8OBgvFjm+ApHJvpPzHS9i0A5UwJU
O/aechFfduMyH6VJatdsvreGvC7nxT71sKemwcVzIeKFDnoIEtAiMWhJAk7Q9RNMRHsTZ08OkUjX
OWs8E4VIEWfogBIAsPniXLcpVCSYoIwwolcH/ujFkih1M+MpEEgeTkasYsiFt7TCyNFyawpB4k8z
B/RLOWXbsi3VdeCtKgkQQwlLgFRpEAxf7wS1b2fc1pF8zIvZ5zc7UV7dBPHICKZTVx9I22tOcBFM
+sa1UEuzXIU5mhJz44wjgQpW/gmiGKTxeFz2aODEU8s1yR30d2nl4CYz7Wunm4RlYrVrmkQlFkvw
1gGrv0l+EwP/R5f+SQiUN11PAHVYEQ2GroAAQBYZYPXQ6C/xriw7YNYtB50IifE+BbRQmb/ApIr1
/HVqzc8IJsXdEOVkKRoXPdUqcpksPM/Ta22X0dmwm5M3A8Vl4sREx3FujNYsTpYCTOle8OaWtm91
SYQ8McF0mYO/Nm9l3if3aYyawjCzat/nzsl0Z9x7dAp3iv0qbZeou+RqknkCBRh7nmbT3p+78NGo
a7ywsHE3bYE6qSMnm6vqvrDQ3JSFNPfZBNx3IdwzjoqXodT2cZxwyUuiXeE0iK0xO9JE0LOtpQ2v
bt9Ze4/28mh7C8fo/WjjIYas80K4WU8RY10XEcTI9koaA9lbZprsnKkcr3qJQQU7N5NJgYTL7Ujm
9V5wFF+RHlddDJ/68C6V8TmSXbnhTGejvGgY8M7Ro+WaG/qp+nGho3oRx+VtZ9L1LhUSyBp5+URX
mTSVFlFQ+zomQMrnZmdX0cQu6jwSxUvc+pJcdkS1XpgtyVyVBltzNJdjaQx3cxglWwcyPjQi5uO2
960NG06E1pjgInAIvxpgM2Mtk9tyPE6BvBlgpHMU00rLcoJoNKT2nYOrC/xme9ETIR0IG+5KGVGf
OPM2CoPbEH0boEPax8NDmdvfNK06VII/XG/dPdqcXeiVz+FUfAkjHBnLCIK8XjSVLQUwyHCiL6Uz
4XgZ+hehW9kX0cm3oR52I+Xy3hU95DJBDeXYCT7QBAeC7WyFhx+nyk+CASq81YnwlFpSM82qXBum
JNlbXDYosWzEPPv1BR+b9UUfd3ES8ZOrmGV98Jen/4+P5XFD8HoVTwQ5dnhOkWxS1ZjqiiumgIzm
9f66idUzH3dHwKw/n5asGfeG51w1QUHW8MJib72FUaE6hSiRm1ReaTk1w/rwusnVqz5e+vHYekvK
VgUU//4v/fL0enfdJCUKnPXW/JAOLLs/XqlrdniaI1Jc1Lv6eOF698cvWG+umyEN+IULkx6q499/
bcnK+RBk3YkAPW+3VPVzoq5xpFohUgsY0qRqBJWt1fb64Lr5eM3HYyUuhRQrBD/4V6/BYQ6KQute
AJPS///9Zb+8Nl0Lhl/+fRp6hf/xWNEjWie/YCW2/9U7w0OjOF8Fvo+Pfw7WXrdPx+QOdbm57MrR
uUVsPu4LUKT+0NL++NhItepa79YzLrMxID6SyFfWWkOl2igfz/+4/9fPWb//K+vryb0BZgUEcHTQ
rrEm591hMIsHnSixtRTOCoLKb9abi+VQVEy4/CYVkG0vQemvtz42sUqt/rir18M242R6/HhovVXg
2dpIJt3Y/v7tB9af/6vHOGJi6Ly/v/rjNbrn3VVViTxPKayiHEVc1BTf0RHNu77CtLT25f6/hfkP
LUyAnH/bwdx+z97Gt+b7H3uYP37mZwvTsX/TLYa5grENATzMoH9vYfKU4zpcquWKZzIYUP7sYJre
by4TFTJ9TMt2dFPwQ//qYBIEZAnCXfj3QKcQw/OfdDAt51fMEu1wZp+M3UFUury9XxqYaYIViitz
fRxS5rrguf1FDPUe4BQDsyjw49xud6E1xxcMRL24Qpchd2NcF0cxYAog3pilJYYsFDR5iGKkJQrL
svHwKPt5CojXTiAE7HUH3m/VduF5KKKd7pK4XaVI2sfS6M5tjn8zJUSzZTWiha+YgFoK1E5uWin7
M2Y89Hga8WWijt7I4HYPrSOhGc/5Ka4YjUoLt6rcUndaQCbcEINn+T0t8+VgtTYhLfyJ4KaZWpDa
Z5GQXVb8WQJ1fZ+9WhoGF6Z/h2mqieubpbvxIudpNvVwl0YBZOJG29GGSncNeO1d0ETACQPmxIUN
zs22H8okO+shXRutx1YxBNFylnN4KBbrgOq4vmqETciDC6Utn05ury/0LDrSbdv0lpzjVxlk4gGA
G70n9zLA8uvTEBIbff7Ul/SUNDVp7yJ0EsSHkReYOM5mqpUcKtRfFh1nfVF6m8WwH8YR8ROwvPQh
CJ2XGB9edmU2RB6OXRvtGkt8X7BU4/usrkVmiI03e7BC+hZ3D56qpo1f+3IXh5qxS0iCZCUqps0c
dx22C8JksJ7lea5fyG7PPvSe4gDamBUysCbpHqoQf6sUfPd73eieUOpl22VCdmIvIQs8uRnc8Jut
kdGMfotwisi4awaD4NW+3XheGm1HQsc5+5YX+5soNa6blPhtPYQ1Q3pb5vjLoIOYFEB5e8CAuSU/
BQGCWwe7AKHI89mu4mXvJcQWlDa2h3p2tqmUxAImIH75RdJkLQVO6Iq+KkJUw7jjTExH2bkMhv5K
BB5K56l4GOIOBVaguxvwlZtpZHyc4a7Cbgv4wg3vDDe/LOf80ta/NMQDV3XqT1w8ga0HKdp/vpSU
oFhPBicAANeII5YyPWWmeQf+gmIAiZdTlg99SpqAW2RPKfRvln55N20qM6JflOrNNne0I9KYYRPH
CMiCG65b4NChOTrUMGnAXz4g6MfAg8aiRx2f42zJQSddaDX9nF7HLzojHwm1apeTt9D0ZfUjBCLn
GGf6Nx3LkVR7WTvHvmq8jcc8+wSJXTmy6NZOZnEwoRJtnBo1daXPpzgJP0nhTrgvKAEjHe2Xe++h
cGxHt94R23ITWJrfhQGERsCeV7P70DfteMNk4DLX5cFZqgepzd29FsD+ofFWiCZ6MtGSTqRXC2Mb
5HlxApN8hPXiXrhAXG5aSabmDATIbAmVFoDCU/cTDWAnk0RNp8GmnDAId1mFbdqryk2bJ5cywHSM
j5JYzJx61KlrD2sjqkaGkvg+h/hUfWlgMt/a12YWdb5najD402hfqXMbkdkaIukw2QbieR5ZGYQ6
Fq7Y0bYGTWTiJXD0zAadVb9FckW6FoR7mBrUSCNZ6bK+I2p7ujSXidU7PkHG7XO4i8yi2RVxZdGm
CQssSZydhuzeBbF5zDGU6ACq90GKF8fpu2VvRfoNw1JvH3gwRHpArnH0UEY1fcqoeGi7CDcpiYFZ
EohDt4TFfo7EVwJOtZy+9PiAo/RIROOFzkhTaOiDxK1Tiwzf+whR8w4NxLkrRAF5BLh0lYNzDvSv
SUx2e27YT2DYHuKwjy8Gw3KQ1wXyLNEQn5NpEKeCCILBzcM9VXKPOajsz/gy8v3IGzDrrmGuZTRn
Y0xw5WvLtyFVgsd5b87TUyIoVaWgth1s92CGXXckuvzOQfB38ASRCGVA8mviNPJsGKyhq54Mgvyp
USd+Q0wYzWkokemiGuS63h3RJZ6tOBObNEi8DXtLemnjfxJEfJwydziUpN8eepcomcHlPDp78ULS
NzlXRYCYMTfbd8Mh+IKYWO0Mu107xxkN33AwbrXCts/EmVQkOwB+irKagOiMSXWa8Os06STHYlyu
u0QU0FzLK3OadYJMc3vLR7EdQ0j9Ue1Bry/MZ69fEuTEDgSSgXEDOoqrEh/9RULKwy5qAGTHHYGO
67to1FtZb9XLe+Qkjr/eyRkhHv+XvTNbblvZsu0X4QSaRPdYBNiT6ixZkl8QbiT0XQJINF9fA/Q5
27vOjVsV9V4vCJK2bIoEEivXmnNMTrTf77JKcvRVAziDLqY904DfnltcOb8ftsRdev1XDA4Lcm7r
udYtMwT5epgNx9xJYQJRoimMeuCPjPz26KYvFxrttz6ziWpfFNyqNt6BIAIelb2pglcjOvUFgSKB
NAUb2Fk8xBXmwdlfrjfJemxVFdOXOBjQde5HbbnCibB+a+P+rwD9HwpQg6QQarb//wz9WI8Idz5o
hfTz8RchlL9/4F8TdP0fBk0lAwoi/NC/Sk/f+YcjTIdv30UPacIb/av2FDfaKOGTwER9h59j5P3P
2pPBOqw+xEcM3X9TSv83tacBeO6/KkJXkSPwVAdwqa+bLorH/ypqmsu+V5WLcry18tepNza9BF/c
cfUNa/qSHmXAweb0QpbGpUuX7pw0Nmmys/ldy/Dpaiy6+6ghSDBb1KXxviXQNo4W7eo8fUkXluym
+JxZbg7z7P+a3G+91EhyLUBfYPo5gGIwny2dGOnGs86NLi+pmvW7YXyJpA7wrcrlbhiLZyil1iMS
+4vWTae5GdlVxykek0pjGFFF/ikfvS+iYdove9cK83JvxhJuncRRK9UEYT2Pd+CF8EdEAo+nxIBZ
u3irDTddPWA0uQvnNfEz/Z4Rv7kpmL02Wbzc2S7tSCeChdYI67GtnA/sr37QJeojtXtgz9K+0MWc
jsLrXtppiXdugfDHWossUVsaRqH5MIz9O1lN2l1KBrkazSTACAvtwphectpijSWuJk6+H6xRZ6Sg
h7he5scpqvSjMfRHArzbwC3zJYxoK+2j2TsZvdJ3sSI9RNru0WubIiy0CJBRcw/+vUpFhjduSkNF
+JE12+lZNu4S4p7AhYzQENWvdRDFkV5lOLWM3SfgDIlLInqabP0cMdTaAne0wrzMA3FesOigDkzk
x6jB2E/QS6G7fBOye5lNTMFMWfcdUJe9Edm/2qocAhIDyKhoSB8bzTWoS7nlHjGmc6zzhx436Glw
rBEp9tNQGu2pq7eZM5sbblPZvkjds5VsTRPRIn160sN6FeOPFZ+WVZ2taERpp8lLNmn+JRox0H0l
uiveL/50LSaNqUiRoChk989e4SRUblIY2XfCrgmFt9MJDfYH9kknGDDL7vKp1PZ6NrxTlo9huswM
D3tm91VkH03TOI+tXh07Ny625BtVAc7rPoRfDkkbvLtS7q+qJqMbRRxVUBz9MhzUp1beEUkYezSL
aISs3X8YSZr7aFekK6mRtjpsL4PdnfpW6cl0KER/zeOlPkd4eohP6Y8kIB9tN/bhIThb9OBeXUev
9XzfxF386GQHxsWhkcj6hHQOSJWxthO9N5sstfPMTooIK9KBzOZRSkVCD+K/S2Z8CjkVVyjn0RZ7
kx5IDZlAxx29cYU8MwWvzlxxU5hJ8EOiGY6Nj7cQUPorke1JIHJHBIlbOhe9/qlNndz7qnyP5566
ySsWAFIWYebAhnzXvtPN27AlC2P00Jx187uFjmNfMMoEPqDdj6VwubR7RNHsVBP9WHrQbhSJ2YWo
rhi2MTg4znioGDo4jWAiMePYJ73c3RnYVPwcQk8/d/aB0mM3ucWPylECBD23v3Qs4r2f5W99IUAq
QsOc0DjMWD1Sf9dVTBUS70mOLFwk5jgAk0BZeOkZMIe2AXCnwox8vcVODyOKog2iNgozs9jqdfdY
mMuniPTQy8tzDGlr8CcvTG39w8Nj49SaDaeviaC5t4cpK3/yvr0wzpGz1um8qRhRbz08CDb7j/Ni
L2gyZ4QIQ4dmIH2fHBzIUadtuxImkVq87aQnLyWL9saZ+zKwi5rGd48sUXbNHDzJWjALioY8tJ0p
v9Oe4rbfuVWVHs2muBfdSC647fxUCYGOBeB0JqVttbMHTAlzPphHmmiodwszIcv0QXYOId5F3mzF
yKa5Z2oAqDQYHaBNmbh3fAkTPTdgrQDtC4aI8cKsJTt0J5jMMeAuMt/RYmmDMmN4r09qI9plTagd
w6JeCH6ffwGKy8MpjzyUBfGuFBixZ0d+c2Czo6Plt2x7twm6xX0tPxiNF3vMiMtR9oS9YTpJ0nq+
+PB0oLZUP+vJv9Djz++I1mb4bfSQrdjyk6d3xLrjHWpCOjZCkjFXlaZLWpTN9Eb7WHx49+lEAU+A
oAyt8SN3Rx/nvk/eR2rFX7nn7vopfVikjxi0RwKQzfMly4hSLaryh3C0F02PzsbYhQbpA3Q9TaSW
mnptSSskNCeQBpO9QhoulCpyAIsu/uJDRmlVZeMMBqpBoynfsne0dhPmw403uV/mCEerVxOP7Ha6
eQ+SQtH38KITDjZCVmHShiNjZDTGxryPOlHe4S6sAsskREx0ZPHGbtVta7E8RLnst/6A7RgD8pYp
lbVOYuaH3ChrTnZ8WmlGTgfg8g3NCf/kCYb/dBl6eBeEtJt+IdmxaQbO6tbcJxBjiCE61Olw1IAr
hbrvLWHbKbmpkkEGODYJOaUP7Ch7ubOcpg0VilPAd/SKIoD7w4qng+754iEfCzTVvuj6bIReTCME
eg6K8XlS4YAhlVmdxjBn4XOTi8H0U9Uk19Qziy9Wv9GR13RoLqUTizMZc5g/zQ6BDJeJPdXZPQqt
vRNbd0vjjydT68Juze6o0jLemuhKIibyjtYb28mvkLWUNLensdqLhpwVqhaNQc5I7vLocEde+sCp
k8dUd6uwE1WYa217dvvy4JMqsNIvMrQj8JSIOdlrhQZttwJp0jL7OtoJN2DYGZAqmKlLD95kYnrX
oRHmARVv2miHBNrkZk7jZ2RCpMNgq0BF0ahgTEgOlEzpPMbe0AKMix3R0EiyzL6KBkDUiq9qtOmC
fIPRg2KwnNc2HSGp1ndZ3ncpZYBP2q7W7uO40OhkJfFR7z0XTpcDVGpYCtp6835ucWjaxUyA87QK
VVbRUrKKuLyiyIYvSNUCNybYIF5cjJOK6NINggi0RY2Dpi5BASdF054G6f0yewReihSONbfr9urt
kViTuFxzCFwdcm3RqS/TqjLyhpmkxdodOcvwhjemg80gyXLcFSamTbSB0EklGzNAGOSUbCSL2EHv
4QetapjbYSkGY2sL/zsjDHqhtvqpLeu0itqgPunl+m0XOkq5dWRV2uBe0FcxFTfoDiTIxtzUnyhF
8+qcmV6z7zsPDU4r0Ddscpf7QG7DUNBQU+pE42yNvv/RU4MTSwZg5fYmJ8Z2XI4o2etVOTcNdhJM
ik6H1b3IEpJY3GFm0ORLlPf5jnZre4IJj+IQ1V4GrG1/exY3HnFLiljAVc40r9LS2yNzlTjdHv05
lIKSq0n9AxxIebodur8ezSYq6zTeSsZI58RDvVj7T1akZ+eWRthRsZ5Ug2cEdpVnQZXhsK9tHUEH
9evOEM3D7e0iIvT2SR4fmNbWJ4yb/zxYI8ArBuz/eu7ECW2dyHmd1sGTWFUeAEYKsj/Wy35KJQZF
9jLcW6U6ZrKSgFsYe6Gx57XbQ6xfTKB0MiVv55tuvBrApY5s3PmnFEj44PawsIFSwST0wtvXugIB
+BQH7Ju/j7cXDFE/LI6OHcWc3mMIndSZHG6P/hystU0uV1mnQJ3mmATG4eCbA3PVuFlKNCd7Pdye
yjn/0Juu3f55KW9ovwp/oM5alXG3z8K+fSy3z6oz7YttptHOfCaRZDklNpZghI8OSOes4i5lJufb
oVsfdd5nC6oQMiaEoVxn/57H7FHq1Ss84eGEGO4QEuwi/vzr4NN/RUnr1rvcX15KrdFOzRoWX4zr
OZdyfYIGwo+LaPJ28PB7bvGjfxT6MqJdGttln3QujDG0WH+y3Tw0W3/PjtMXU2wnxpC3zLvbwTUq
lkvPaXcUjqx9Q9eyqq/CAzSwaFWHu0jKGAHOMpSQYOST747z7vaHar3YLbJqUZjQ+BTxQtr6UEwQ
euuSgnxdPZx1iZAJitfbI2P2GCPenuMO/ZpiY97dvpTbd3H7ohQMg51TuV86C1gZyZ4sOa3j79zU
cFa7cX36t/O3G1ERNF2GD/qvE9v12WWhsjSHtlrouXMiA17izBJz2x0kBcG/h+ndPjR/agjHKbMh
ObKd+P0R3H7L2+9LZNFy+vObs2xXO4/AcozbYaNkFia69QvBLPSYqRJkxRmPBjtiV3hlaJuS2tvy
ESov4r1juuKZTHX6HiXBXL9oFU7kzKsMXP4LyjSv/9D5VnAibiasPW8Sxsq28GJ/U1W4jXIJJ1HO
fX79cwCaBF7HSM+gywhoK4A3LcgVZX3Q3XoKzNR+Ugl0nsG/tlp7Z6KYkIheAi3hRk8YepzBg0Lt
dxSdAPlQf2nFjjsmDW+xmBsc+DAnyny32lcmdc2q6qfhGl/12IAyiW8lGMf0tYSEnSBRLLzmLYZL
ZbqRgxWNS8AoszuZEBpYi+lRR0sFg2I3TuUljeEDlXgHKC2sVzB12Pao3nECdruB1DM+LzsnxnM4
jNFM6eOqZ+RvzTkmygikkncg4fOFPEyXZn621UXOICdP3SPeX7Saen8cPLfaGxbYunl68EvvObNK
PaARcfZ+rBFaSFZL+qMrdx8P7Dh76tQJcS3kz8l89JYn4urTHYlBaErL/JLY0w82JGWQYonXSDBY
w8bhpQh2657X0okgxMGJXPq2DLEKT34hpA+138Ps5b+iOV02zczgRRbx926gWNFmqGfwwC+ePXkB
criDnTVPHgKmdatnRlVA0kTNx9U/kIm8Dk2sZSOQj0Ujo5m6Haj61FWfvkYuU8E+ZhpAkdGjv6LX
QZe9AyNAzYwmqHkB0bMlmRVJf0Zd5eXpcenrMpyCXuTfO1s948z/pvgQloRW5DDqnIiO/UUW+ckr
9ae2YBphYT1s5PIzN9lTQyJG0jN2j5gsESqtkOTCh1VWpF+HiRBNZb7MUVTTF4fBUdofUloyHKwW
UWzi4q0dHspGbRNYZ2I6936254L/7FKiuaFTISHqVsyDfWmzYtvZNVJbooqNNnW3mQ1Oo9G7p7IB
SzwfzGyJA9p1PxYzf8r82SKMz7kWMxnWhDFfAHweLGRvfTmfczHsyL+LN0pMP6vBuEtK+bJI90tu
+JhkhygwuY4WEARH3YJ02rTeQ9GU+0ov7kaGZBtq0r10hre6Lp94lxtDoZGKjczbVwkbLwHkcQJl
GM46RnCmnGhD2bm79MQ1voYYUCdiVd7fVmecu9CvUY67S0e5schoD2yG0wFK1Id06t5wjOBKieYg
6ro3GZNkO3b5sTcBfZYe8qVFxi4yiVydzRRtVLVo77LKfQYqNbeCIzC9D7fuQFt5EAxgdXzXzYHF
TyPMwPTR3i0sB85gABAq+oeh8zxiR8Mkh2eZICbdaUV6dirjufNWK1gLoT/J8OMCj0YojCeUTw0u
Gm05WarxPHTg57yexIY1rboTzNjkqLd7Txlgb6vPooX0rJzmDT1lA6jB39aGAWMUwSmxHHekESeb
RYeFUBSYVQcoXEGs2nDEGQhD9WmGYH0eSgWjQu0t+BUM4hL/oOfoAl1XO2Vjq110M75gik2Idtez
h2Yg69YnCbGz3Sc/kRgjlYk8DjW7KCZ3l83OJ5VFvLUG1QZco64ZG9wnvs5d+si+mBxPkV5qv6Sy
doZPa/Bb4L40JKSFi18S8SchEqVZvV0WcR5gfQRZSz63l3Sc5b9EQcbwkpE+jtAmzPMmwL8ObdG7
oueDlIpmUizMCsApbCBstwEAC3SZUfWSpvNDV9GNLXNL7fVeGCcK2K/cNdC+RTQC5+rSxUSUae54
qQf9yc+WH45uYSxEeBYsK4awL+x7UAkpi/MKTANLI3uF4kDFxzKhLdBj4Isi7zPLimnLNsQOOg0S
ceamq3Hc2CZ284aCWVxY1nAJ8m3asfyk7THv5NSEliC3iRzhLy1r0Kny28+kIJ/Xirh9lvIjoYuy
acdPLwNTC0bT04l/JbkQLJDKwxzT9cYu9UsPp5z8vV/cYi4dC9mupLx30v5tUN4Ht3QFBwXhmm+T
s1zqxyz7ldvMxcZlGKElcG/MqMkGQYhJ5yFf6HdZJyhluaVxIXXOVstB7bkoPfMaY46vtPjEEK72
/AdDDWloa6wyVLUILXTwHr3wSJtetB/uIInbm9FE6s7AepA+ydwu75wKojIAwYipy+jCW8TN5T4U
bKyD3msa8itgoSuxlcMVHQHpfOIbMvqKOnMY9ygSD/ryIT0u+dLwd35NRoRlALj0eGt1r5Dz0z/H
ATKc2jp5r/W2CpY+hCaN72Os7q2lmx8jO0LCV6bL1pqwV8GvxC9l3YsBqLciLFzLYVnUOoFaynSe
uqxxN6OXZ4eWREirBTIOe4Xg1qvGLixEtttsKvFc5UvKriFfgRUsaPGgHiKCYQYJwSWNssAsp7s5
VuJqcVan6MeXbJwvwhrJPpjBnCWnHMAjoKXinLJKMLerFz6algCxOn5N7W3Zd+JMw5s4ggF3k/EU
c+oX8CELd2e748/cyp9roHAVuFHFJCEkXtIP1AAmOfVBfpcLHTjHxB7W71MIEQ+z2k/GomP6HquN
YiAd6Lbth6l0HtPUfCB2fQgL8ZrT395065bxdnCVE7R5FR2MqnkWLGxjOLpzvXF7k44XzSEGoTVW
KZs4BYmAJM25+cef5RQ152gU+t5d55nd4KyL4XTQrOLKbS7Ik8G/S8mmYkpbfcnUj7Q/R2ZL6jsl
0cZtIhimlgUMER5qQy44fv/vPoi6DbMIeZgL9b4Y0w/qpq0BdI90GkTohfcYYRa2FHWLTB9B50Xg
vcdfUyKOdCovhEmKbeniPIjEdxso56nHd81G+bgQzhCkffExCBfQF1qKvutD28p+NKb4sdDxCJse
e8gk2GoOnHWeR2hwCgu8r6M2mIY6DvhOWIZz8iPcmOpdGxy+zgTQInDkccbsRMv0yQKuFMi23Nql
hWvFPzKcH3dmkbW7ZVlbSSMjZcMEBAuejmamdXSsEiG3PSDUJkgFbNK9ayTttvQyhACljxsorZv7
vshJEEMKwW6AyE9VUKHIHAy6A/VJLxtiXJJul9rfK6WqUNd/tg05Gj7fY9kk5g52/LRtdP/72FQo
RGKqtoCu0xJwiZfAkGmYD8Z8cdu7caFp4cv6GWCEZH+FpTsx8If0c6FjRliBdbfn+gqlA3zTnb7e
jEPy1ke4Ya1uz/8c0gZmsWmz0muVe5pmo9kDuLM2NY3/3x62m3stve3ZcHtBe8p+Y7OqqXpkJjIB
CfyXd0qub+B2UOMIkNH1MgIOwFdlk110hxvOSs+u2VK+e7Qytg12uxO0HTaZ86BOVV8hrKy8xcZJ
B7bCrYHzUCDG+N+YOpzgO5MvAnVuMWAs3l7XnffMFOhPSuefPihvoBBcZttg1l7L09R2AwM3JiO3
py4mHBKJGpI31tbGzbOV6C3xYg3lTNym2ZFxV4dtYRnDm4HWXnskN9fSn0PR62m4mMuKsGRjfxO8
TZH1hNmTSi0tnu3RBK404ci/HW5u0QX4fZY62iFaN843a1+y+vtuj/68VuvjQz8KxmYuSpBq3YHH
EfHdvoNy+/fzPy9WMglrkm8PN9tlsayxpw5RaTabo2VqEu7uEcMiiboO1AceoGJtZ7WVZ26iNsto
tWW2uUVQt9Uyfu7mDG3apfvtERV/uUXXv9GaXo9EASls1wsso8mDZxHbbuOL4MQfMu+km+jvM0cC
sNVhQ5XAIE7N+khlbXx0mXyqzjNOUT4K8lxGYvdcmd/fXstiVs7bI2MS5kYnwpTRz/ABxGnaVnZL
NaElxklEyEzy9sftye1l0Vc9eUMoE/RKP90O8q9H//aUgrfb5g0isdv70+rJ4mwNjY5fWB9q6/fh
9vLcQ5Ca6sehW1aoqZPgey6yO0MkPC3WN3t7xzlFQuA6lhE063sUMxIbZz3cnt4OTttnYSuf8oY7
cVmMwwm/8u3//9ubWD8kx7PdcjOv7+P2JzMnQhpRMoPLsbdAJ0QrEf7MDVy2JmbPhU1Wfy1jNiuL
iwUtTSTpRaDk7NkFSocc7ACGy5KNuFtK4ONlTUtbQ7cD7KG/GCamgMnLvudT8YMaiGQMSMSzWTrY
gtMP265e6p6zJJ9x7dRGS96ZDuJ1JlZtyfm4pqo+U+azl9AYHqq0K9e8dpItZnHu2dEQ12Hvc8U/
J7Uk/NTDif3mHj9YSnESn2n6Sl45ytR4qQ31oa0mOkcBSYszjU/BhSdEpRhKBdOzx2TgKv0LmQ4Z
+HSZBv+nWr4JPf4n0Yhv/7eq5f8gter/IS/cfuafshHPRx9ioxY2mRmYNFD/Jh0R/0A34jsOOjCW
SFJN/pKOQFeA1IDWhKwjy/ZvgpN/yZatf+jIjEFb8TJ8K2Ax/wvwgmmsHIm/w8QMg39Ot3QkEIbN
PtRZpSV/ixuFI2riKB/E0S7YKoJA8pEwIhBJ7a+FQFcxmLSoR0f8tJad2wVcyQ6gevnuTq2+HSBG
H2Jn/uI55XuHbyZ0Fo/Cd5WHGlr84hvWlZI4PVoLpFXTSqkQMGZ58RVtJiECJh3FLPLFRg3uazxn
SNk0dF2iC5s49xj6AxuhK3ANcZFPmKo1j2yr2d6ZppVv04hkhtz4AeIxyvTuokOMD5KSBkfvEh5U
GoTdMrD4JOLO+dLhHBtNEZpDltwjXzwUHQVGRXQlaOhZsCzo9p4xMZEggp4j2tytOycPgingsdC5
aZTfjrJJXppmcc5e683h0FJPqUXckbizPGRpZoR5t+BhBLI99iT/ZAtYKcbgNYarQ11Q9ubZMa0z
ppO2xpCbAhcpyHRv1/e+4dW7PmM45evwtE1BWSRKthvxUH9UNimrrlXsifx581mAcKJW1XlEKLBQ
CCQUIoFeAMG7M1Q3Huvh1PgRs0vZXVeCgGNm1t7N5q+wrr6UmmOFVZm8+hBVt1Ofi91cahVfay+B
039GxXTfy+gB0mQUQvHS90IlYCBVA6KTllo+pOLsjHAUWt2/R6jUBYQVbMbBxIomjFd42em2r+gF
RnnEQCXdIUBsd5HNLrDV6p3wlQ681L7aBiyCNt5nvndStdXumqRg/4wmkwV5Ijcg90oUmC1SepiQ
QWz7z41dAfJbOzUpoPDYaYAij9W3Ws+fMCsfKUi/SQ/hZVv6y12ksUB2vU7oky/TIw0JmqPtCVUB
VGKHSd+iV99ajbFgE7902d6luWPG1U86wdw9piciqypvzg5DVeabzJ6+JV6tB4VjBAgfwH/pxv04
4FRyGuPQO96bLm0YxlIh3PSNX+zOX/xuiyf4WRZeDZi15Pcy3O9iyt6FNyN6Gvh2MTZ+pxam0zjm
Fa1GRqh0IN1DGZvXsp7xuCxRdNazMG9QRpsgKwO3h9U4teJdb9KPxZRlaNaAMqwGJjDCqB7jd1E0
mC8hrWUzuqQR774y2UPk0YPGLmPrl/MbE6oDN7L9bPbhSAuH7UTsP7mlOljah70kIIUn+6dKC8EQ
Pz5kVfcrSqBx5sWc8IGaj4iWvxSJsrZf68wDEca7xlNLr5CgObYbzgPipGAkcqljDq+57HrbPDsr
XIeBldWE3CQ/ya9h3yjo9ToYD1vT+iYydDiKTVlQIxoxGkaZ2O+pzbBZtT1Ehuqpdka1dxbl7Nnq
f00GRmSOwIrKBZ3QTGl08V4jSyPFk80lYRoNbUcdDOx45XciJPVKdudTxhXXe97FTk3mIO5KYVcV
zH1a5ZMaQqsY5d68EZq0oyrcR6H5WxGPwYzH/DAJ2rNTt/b0ZbrquH+aasw29JsfsHB427lIn0Gc
KuBY4xW2IDsY7Fj4O+jNGQrRy1iNn6h8sCQU7bs96EmwGFtLkxkFnPiGBCu5E1Ieo/fWmVaHbuKc
BIEfVp8OBxx/0GZ6+xPVCDKMYorO8RPJL0xAAcp8ESaDW/cXnitvVwLR3+LH59JBe1LHArdI3IIE
ABtaRsXJZOjFQD1+uw3kuAdwmgvP29RK4mhe3Pexmp+mydLXi3KEFbM2hSPrmkET5rch7criBLXU
dI1N+h1z41O3LHV0cCmGkNNWKdWKQZ9BpBOxKtO3cdbAENj0ITX3h0iv0pY0fsYYTjDMfbepcDoX
5U4mJqrsCrgCGbfYd+9xLBa7Oc+gjMU0vsso0w4kfJOXpPsrkxvPFgkkWLzR1UwaRu5lxjCfRwDf
GcEXv+rJJSkEG2kdew9m6lAMFjrxa7npBW3hKhoEaktMkAdcIH4y+1oLu1xTuywyaUCEwBmvsz4v
oZXSREunlH6HAZ2jJLNydjpSsWzOjJrRftRdEw/g9KKjDfAKmdIyzrR9P9Og9wUMk4b0DiOBBwu2
LN71bfk1siudmxnN+qRLt+ji6HErB+LkkplhnfI/0ODcmaWpfSdw1DxQU3KL1T196/fVvZqa9zR1
vYs/9nfkiLRbxOBvwMX14zS8aX3VkTys1wwpUWHrjMyYPnqBbeTgNPJ7GSPGYDFgUa4AwabgeG2m
gliFWPGIqJBTvocFj9tHTtA1LPsrca1fW3ZA21ZJLYT6y85gTefJIhLRyIJjBD/cAXa09mORxyHa
oxVCkn/HW/5CVtbydfEOHapb+qiEhpP6oCz0YXE2HEzUs7u+shE6qIM34+QVU3tfqaXY2qAbLMaX
aOivCLS4IzrpKfKsg6w4IHOknTUCBDf8r8pJXlLf28U2EY+Ov9eFZW28Rl0k2JnQGGK+2cUG1WzZ
Ei4jNpKIu6qyI/5X0+bTKTAGt19bj9uLE/kR5mf+YrMgSIShC4zAPFU5jtXKvHd63qPGQoLbKNUO
qRIo9np5ZS9DjyWaH+eSjMCWcFRgCcclNfyzTb94qtfhnU7vn3k1Lb1ibzT4MaLMuaSIeC/Ma4Je
rw8NaJ8Qc9h3yGxlZp4reJerfvLTt4Cjr5EsSdK9JK08rXhjZvLxZhp9oLdAe8MBwDMCheJqnDuA
UcxoJusaLdbBSAfk7VRNXs0Hmg402pfow+9fy8xmR2pjcSGc7JD0FrluBQZocOhb0JUP9v2AKTvM
jfYbKWbskZCYGSPCLZfFDLUhKas96I18yIla5oSDoi5ZW8QPyYUYFvrwprSa9CwQp85QOOHy5ur9
t7kWJSIwj6QOvTsXJR6OcRIxWWz+NyODLdminOLKzZ8zTfPZRHLXHuIIyQG4YLyzbHkiUDBu3EWh
VTJY0QBmJqK5usaU8Tef21wlO738MNt8RUvb+1p1x2gsvguShcOOScKmymOd9YjFqkuxfbj6cgST
8GgySUGvRyWYivl1Tq0WaRd5atXCJkwn5YOAa/j+XGFMiXoTwQS42GgwoiBKvDw0E5K3/HY6LqOd
bsGY08+to6MHwD5ATEfN5LN2UQUOG+UdJ4tvPZ9XYLWF1FehV/Qhll2abkF5ih0wlJi5wjiitwe+
EdIQCAzDSr7jusEBW8tdsXh33JemrVtbcxjTwuGM5AQtquh11WYtw7OalM/EadSvBea7JCPYoaIX
SXTmG1GNzbZybJqGHUGna82Va2k440s6elnHWRudOvifKAhQ9zKzJTDt0tDZOKLrSknCbhmtJVQW
jII3hsFwLLMJwmT+iSe42WpRcu+PyGatfuYttfrTQlo7jKWnBMVeYC+0HjPy01q+BNkx2jWs127o
56ORNc0uqyKUmxbTUmOEm0o7HJObrw5Fb+/BexInwZdJkIHjb2crLo6OAKa+vBXULntF4yg0J6mu
7uJ+M8r2xxDFYCyq+Aew1q25MrrpeFT7KYd1wsgEJnGMmpAtB1R79Wl0TOLiis6Oa7Eoz6PrbAUs
Lso2QblJqRmJCfLDaN2Nn6PVfJ8TZ9fW1hV0KliMwkMuMlhvrVcdhpw8R4HcrimIZRKTt6NERK6P
55AeQnfLhR7Bppqog9gMDTqEt+XJbacpLEoJrsXFMN1Nz7lqIDnimAPwIaqtnDx08h1IdKmjcXDc
/Kkj7nNja9kXSFB2mPU9ugHUoLvSzL6nun5fUaysd0NUraSfFD5tBHC9QXV0f3kuoDp9MDZKq7hO
ZJh7o350CnWuy19L4kN3V8we8DRg1/H1ZzwC4NQQI1Ryl9bdT2qlb1R61eShz6zJ9MNhGto5bk+J
P5K4ARgnDOMIyInRCjp1GyQaDXbTaaE9qXrHaR2VakU7MCJ00/kSz4yHjMG5DlHtoEWIfi7OWO9W
DPiAO2hbZSXWVgJXgNeFRlTUG2uXo8pEEGgRGg5GnX5Sfy/Q2WIYw45oIz1ADnbOuQCP0jLvk8G2
gzjrX70V+pqr7FsJJtrNtOZqLeDty9YBK4zqO+yG8Yz5yn8c5uyqJcS1TW7P6eGN7/owpgxPl4Ns
rE9MB19Uy1LqGFcP/Sg0ciYUK/iiyPX7uNvpGCj3IuouldOwjZGWtx0RaKhZwv6Pjhp5vnuvtb7G
TPc37TDWe6dANMg9dGEXRpvn7Jj3KqaWiHXzZFWTE8RST4lrWMLY1n5aNcNFStmqY2rV5SWmL07k
nYgiGk3dPk+1H9lIm4heALhSSAwb26ImYbNj0NVPEvBV8Ulsezbz/ZygK6zph7XMfShquZ8bUHkS
CjHU8eQAdMSftFWOpZmGPxOR4hOa+x2ipV1mkHBZ5w2mzNl/T4X5agAd/OK72pNeYVfLYP0JYq6g
nLoV31yO4nQXs2WvZvYm7ZNo2M37i1pY+CMnjBtGaXrz3cgxXjhp7u+cjiorAzebCXBXRZ0/E/H0
n+ydyXadzLaln4g7CGq6u64lWZKrDsOWf1PXBAE8fX6Bz70+eRo5MvvZYWwkW9raQBRrzflNFMYh
lFLpvNEFxKfZzZj7NpAk37IMuMo0IfiQXX1IRHI1ZUqwFIjbbRi0nzFJImSf4TLHqfvT6N33JiNQ
qLe+hm6JCijDOqyXUbbYASaq9uiT0p1o6vnQYpkeCcjJ8xghRI9zMHEJRQETjdj626DJ03VqjgdL
fVckk15rhoK0IgsrS6zXYJq2BXKyN6c8jqaV7lMPGXlnPpv0aRGRD8x5qK7hw+5DZLfbOvuo4uRL
FrTujTrPfTFmcje/i0n8Do3uO4DsSzCYB6dDmhpQedlYvdpbJR2nSMgb/awZ9T7PcKIwN/IecfFS
A11iZpSAKSrun6v8u6JbcrMU3N9FZQ/fVL9k9dtSAOxqBULflHIbuTmB2kq5KM9oMGFx3C2RGncL
+v4KzSbZfxlttfrheyp6IRpvk/gT7BDLBoWHq9KQwd3U+EonMyBjWjyhQfCpiLroBFoPohW7yqA1
2Z7OUqHkgSFTDLfBQbOdSGpUPclmfmC+WarFO2MvXwj7qgHKoF9ncKkjcc/LwToNrHi8jODfURnM
o3GAECloHpFel2A3JuMTQi4ZF85xwOXIeGp+RsTw3tk8ad7w2WuD5YDv6kPVMV9AfjM77Q3IjOZ0
Dsndo6rlWvG9bMq30WSISkOqFiO5aHGZvaJTJ4ksoSyzzYr4tUCvxl5svg8tpaGhmRW3k2l9qpb0
a26hexEJrbSsUj8W96h6gNs4vb7iud7eccK+gmF8W2zwu1bPAJY6hEevTVDJtf7zcj3Pyl+5DIjK
Sgc6xMaCsIeuxnoQGP49nrnjeraq7lqEgsfAiZ4tE/hP6ZvnKKlCujmLcYik+TQipOYhkee+dMQ5
0lpPd+Upri9VEQBLzFh1iVTHHcvTH7ln54SHIqaLmqDxfknQgs3IBiobnUsisB7HUIfJ4P4se5oL
TTBWJ5vtnRhpXA6MyB/KePYSV/5URXNui9DbwBKsrj2vUFV5HSUOhciY0j/vDKcCGax8nnH34fnT
2TMWChYuyrtAuHs+6WovSkhUwsqf9OO6SUIS6Y1XQArk9tJBsCP/TuAla0hcFbs0bpBdS4pAMMHK
yDzZ/TB/imh5sDjZjygePhlu+8FQhF/d9u7IALGtFd89pR51bKhdbeDLyeOH5V+71HlXdpAfl5Sm
QI3Sp2y4tRt400lIHJtpfk8FQ3spNdu9oLQ/B9anIgysHU6Kb0wPV2HSjMpo3pTZAtPMdW9Ro0nL
BhlgXSNCAgSCRz5438LG+tqE5ae2QWDFAvFDTvjUVX1Na4RxjifkkRbTTOOc3Em7YFhZGtIVWepx
05rPMuyIisOj5dd45QIeIasSDTqp/uHP0DgJ+XpdjD1LspcRAMERWp5BmXX8WpJi7xPlDKCpzC8K
+UqB0x1S46GryFPyEdVvAkwmx7jIr5QTHo6NH2022sMqDlUa1TjJRO5Qzf5Lymut8l4t2V2lo+sp
BI1+a+BeQ1iBzhmN4bi3AuOjKQv6Qkv81HMrHdezqC3f+zL4SfcbFlRfEMtdVHKzPhyelpY7BLEx
yEA503FJdUoe1EC7BrRsFepUN0U+3tR+tTUCVy0hclXWkM1lhPWLWN9jpNKqY2NCM4Hb/UStBCXv
+lbRe5CU6ZMBdkxjGzM0UdbO8tJlLPlX7fh6KPMY3s7fc8GFMjMvOa9vcT3MFS61P2+ZKAKHcvq5
Zmc02Fl4aGNccWiisxA/9WacEJp1UXePe/Ry21TLrdlttuch+LI+jLZPRcsau9Mqq19/OiFP//3T
9e+285QCaRyU8trySwqjKo/rX+z6Er/F+jms5wDKuoNvzZ9cW/4kevAqE8onCs7p0ZXdMUqApzPX
wuWbFoflFPsxE6UKiXBSd6idcDirNB+Oxkqj1e90HUXW0xqA0RaGc0wcA9KO9a13OgKc2Yophj59
iCUBLKdzot8C0DeqSYxg+E0kXUPIlC9DDyd2IoeF+uiqCl4FwoQVV4e2Cj/RqUCnPjunpKnJuKZU
x7gWhs0pyRbKUqC95nIyjrbXdwqXjXk1oUJfRSfZkU2JQlOgxdzxQLu9870dcBE0l4kLQXH9PUuM
OYegUGRxIh8uvm4MY+bb1kZv0TV2PHNLcXFuTnqFsY6/uW40h1X/gP+vL2FDyb8NWY1qO8YqkF5f
rYf1jjNT4/diTuV+rhJuMyumwEx39YRrnEflfw6WhxeCdTohiRqzJJsA8lGmJdYh/3mDecffNVpy
UKc0Nau+oicqMf4FKXiI+tzMbcIOw/2n1D3csnDJFJfhwdTyg/Vg+129dwceeUiZ48VGS8k9b0/+
Ngs76kZRH1PvZrRBaZ4CeSDwo6q3soiO+ZSlBBSxk8ScYZEOwcO4Hhp9P6+vktToTkM87Aw0j8jJ
tAPgryFg0bfGh/Qks6zQbWAwCjY21HeTaPfzeh0s7Wz4c0Wo5gSW8WGMMB9HL/3ZqnC+sdVDleYM
+BHjrDvG5vI+Wa4PBa98IkrWvpv60ALhl4Y1H/o++Wy6bOmmYP7X92DXHt3MC87g+VyY1qiHFsPc
B8gjoI5Ezs0LqHSRiHhc/0Glpv6K52Szfk+U6tZ70W/lDIwZrXF0OjUfzXwcNpZCjYUMDHiZzYO2
6ZqqfIyOfRqLsD/1VEPF2OEgNCI3ubcuNQh3IkFAQfO7TRA0qF69UluggtuxSLL0mzY7elyNsYyw
w03rnmjioTFyajjLT7I3mR5teRt85zr21SlfEB9jIdwx9Ff3aP5dS5HcPKunhkTBbbMkc34mQYym
uWcesoHds1KzQ0RFbwkoDq11HzvpA/qgoeDkxS2BNQeF1Mi31lgcBrZY+EyNb23ss5vKqHLW5TWI
KrJMZRdhUJjcF1OnCIqp/I6guti5ZvFVtouCScjNIFTwQXrLc5nXVB36MTvKljW2eUuDZtknXnoj
+KO5yhC+p0V0084TPbiRNonpa870xNGjl9e/B3+yvA00ILGrops1+qSMBuELhVuTcNW5La4lQNxa
LgNrkHjcSoJit8FQkzGKaiMgn5WlEK+czNobgkxwU1Nq7SUo/hz8gCJnSJTUVvr/TMSD71BG7NOw
1lRJHe7owBtbX7X6dH319xtJD5oC97iFEo268/oNM3FY/TVuufv779afsv5jR6Sfe+rrh9bEnzU6
lkeWYIZGe30Z+sI4kR+NxdxVyCe261f/HjpF9ud6WnWaWOiW+VaMNks0kkJB1pi4YvRMQp0ctY0Z
XCbTyg8KvngXzdjmFkYbbk681oiwu+EnxRVk3SNyl1IdQxUl12bmiQkbe89UwHVheIxt42IycZ4b
RlU1M2yWhlNQlMfJ58e5ugpIvk4GHasvWUwSd3rWsSX4NfP64DIKbGxXfLiJyePdf9HyOKor29ob
vto1tjLNypR1/5bm7HHzIPyi8kCrOPCi8lRRbpWPKkp+FQ0mLQzIZF+qhtYb8SA9ogxdw7yQhvld
qHs2K+oYVNJGD6WZYRUfk9m2e5uPjMSlj9Cn5036XzjZb1n41ZkpjKcu9v3Bmd+ZsjFa6Ny2WVHp
qrtXP6DxFXgZlZOBfXaJpqV2jm2SviUmmQEUM9wt26P9VJdfij4jI9Gi8mhLJllGPBedb983fAou
5bYqeyY24BIBtqHDlryN5fcU9zHj2hMk2nobmCUsBMPcwal5jwb9sNf4KYAG5VVzFtVEdahlsUD2
pchwLnR+1TwCytqiQ11OVq3WKA9QqOOrpqhjf/ztGw3NL//ktdkzWhaoLT5TKcl3P5kZ1CGwngpj
utDHf57q6aiy5Gs702MLi7eBxik3Fk+Mt+lU9db52vGb5jHKfO4ARspjGE4oLuOp3dpR9rTww0aq
i9UELLbWzJampmIMyQufFOpTpJIU+zeu5VabpZkfZW7R2H/rhxRCg209LwyAPMERnlQeYKsFFmku
5h173bdBUKZMAS+15XkKJj6f9EdDJ8AvkwOmrgfJQxjtnw2ruUT0SbyweMEGP8gCtkZUkZUabgSG
lGQKf41+9Wjh2W6SMf2BcGOPlVg29siM9oLOOt/mvb0HnRNj3rCvBjGbmHE3ZYLsEhI1MAkJbocA
pF2dGRsnJGDWsUArU6PrAvOuovEoFctP29zThbhRPnes6VH8NqzxlPZcVRdTS7PcQWHtchVfeyv+
3HniVXg38hZ+dfYjL4G+U/97nRTFNRrI53YKs+tseNPO9TBuL6Mtrjzt4rq+Wg/Sjq3rHDCWlkn2
vVkAHpE9U11yZ0kOiBC+WC66qswrKir9SUJnPdmUegig59DyjEvCq/rsRbanMGD1Ns1hdzErHnuv
wxu+Wc/7HqAF8mTGDWBPm3yS01arm6VyWvZwjLwqzu1vCWsPtKbku7Kd29l6n0mtgou5YtU7bai0
EkVZCiEuTycm/TT2HxL/5KpeRP+rUebsY1Ov0mYg9uHrwff9l75cukMzUDrepHoxhz68Wbb99NNb
zGxblGxiiFytcTg2pwAo7TFpIi0nqDeFE7H+Xr85PWV9Wfxh7wu9e5nWFVppjqR46VywsgW0a0Ei
yzKelSqxZoyrgumw4hle42INqKsavZtsUDlsxwqLGUMweukEpSR1MBIkFHxoOrrIOGN9KNnyXMzv
tl5vDwuO4Yq/pDL0lLf+o66kYZB4iNMsAO69duuxWcPMt76csgb5XrcXeYEIOYi/WKsz8g8n8y+a
U/LRbB2JKsMofFtep5jFHrESlOK1hc/uMQKOTs1+5u95JXDZqHg4hoPSrpP/+fUr55/GHp1uxhaT
G6LMwQB7LfJ3sowxNeqvra/Wg2HVNwhlJesjjde3pX+a/GQfFcs32+kHdq7VZ3fEHMdcICjB6ez1
yqdJV9vRppLyq4n2GMWxbhZqh6EEoE4pEFecj99qTl2aQDo6Yj3ECw9sDE98DdlYDy6W2SAystOw
/oX9Ule7giUPlYAMY0FsUMYSWXpIGxtCN8PifirI4xR+3e2aDkpVL0esx3qtzVKX7YZOye5X2/Jf
obEawtf/L9b7vxHrWVSs/49qvafun7iu/p3x9K//8i+xHtGF/+V4Xkg7KQAKamti03+nJFkkKHmu
6/mm8DxT/DvnyfsvC+4TMj3bsnzXDnkP/xLrOYKUpBD1nx14wG09M/x/EesJqFH/u1jPBPLEW2A+
Y5UKPcr6T8hoL5ec9lf6TGhRQB/yUq1S5GKZtr2asR3Eh6iWnxO7JTsFv+nW6fL3YEp/xWZCCSJ1
qu2aavH3AECUbXhm3yYPQXgx2c/rMLgeOju/Dm3NXm4t4/wZFYYGgMtk3FeJ73qofQlGkzb1bqi7
fTh27RlSar0fEoB8BD16R2+CSFjiQD/0+ajAl5b5SdrjNbKdjwzm0XMri+Ew2OHnKmBMRdTW4rZ8
9kIqtmp+Rq+evqAHIwfPeYgJ5Q4rtLsr8+5cjfbP1Ev+kN5iRxFZaCg2/CgxWZPoXT2u/OqyvqKu
TBqMNX1u6Ebu2tp7sseqObpscXPIjVcjySr010idpujDTGzvMhXBvK/1o7uOqE4wiY0aU6RwkQSy
rNxrow/hyC7Uhm/L4hHvfmzikkZOH/PXGMi/9TbX1ofVr7Kerq9wpb8B8M+5ZFyDKkb4PvgTjp84
pkGFv2ORM1YeUPprNM36NyAn9U7zAkcZkCacLP3Hmfw2YgIhQY5qSPcUl96Und1g8hTXGSvPbq5R
s1td7gNxIGYGXscTIaU7YTiHde7Bu4+gPLbA1fdahTeaI41R1tQ7pVNQ9fSZDt45joL+WLkVY7oY
2HC60iPrQUHWQ1xg7fycrmQZB8hVYv9IOU+c7fDfP/r/uBJ/rw4lOGdvdJjxnOpoNjNenhAIKLDM
Zt8Nlbysh2kiuS+o3X9wPrMvkKoH0ccWXrZudwFm3l/WV38Pk5H0VLLr6OggGbX59Zf1sP5B/3G6
LhQ6xNew+VjaJbgWwHFrAsSfl8tkPSNqQQAkrG+rm2HNolpf/T1dc1oWv3NOAcKr9UrXurSxvvp7
WG+G9XSZpxYNTT9u1idyfRj9RQfSJLo8tn5xvTtU5n61S2Joen0Trx/d38Pfr9kJFfw8+7O8ifV6
5k9Ama2rIn9TyopFgXRq6ASnui60wrD/ErHX5/zPQqBn8wntKElpllPz7Gxt3l9XOP92jrUHvtEL
3m6wZYHOkkooAi77rvgRI4m/DGNNw8tgzi9zakJ2IJaLqw/r6XqwQkrcTtwYiFW+ZaI8CREdG2DB
J/wy9g42BnQUS2eyIIAbLkFHZgt9x7k6VtNw7VT0Jainvawtk76xNC6Bbb/NgQZrDhYLrvVNsdVC
wXUx9cO2fkGs+T76YP/Pq/VrYV+LY4gVVOgF76z/gxX1ZMRk6Z0JgiiVCo/FENdXrxQQY00j3hs2
yMjE4WAaxkyel0q1AfprWnYh8HgWyM7yzieLkx3HJJQIm8NIG/kC2JJRO3G/rlTnznfeAszsh/Ut
tvpqr5LmybOwTOkBbf3GmGZli4qGQu+syL96CJW90b1ceKLNfpcvLz15W5taOY0WaT8wrP4cCCYH
/4zb2Rxx6EOG0TPd1rKiX2koivPSNuLQlkgmou4V4RjK7lx+NlmKhwHCNKsKf5SNcHeLKl/CAx2D
AvozOX1EbRyqln/RpgPcmXrZSZWFsIGKe6Nt+rQ4v01q2Ykp/xY7IJ3sKbPZ0gckGzfLDoYyt8I0
PbGwxxgvzW/RLCKa1kTzTlI+UquGo8m6GcmiRLmGk+IY89fR8WmwZc5evCMu7ylPqlvRLCVDxJje
YOqgKeRuirWh3qX00yzXFJzMlDss3wfrLtrpNUh69LwubUCz9GHFZtLaz5L5zQ2mU+uqK55I1NRB
Tbr8lPRXOkefJ1Qu2zkzgE0k1a/cpiQzBfLDMGPnskAi3NsBebZT3+vMMfZ/Bhi8cISi2GKQyeYn
IwuGczwD90onyBBNQRvQQ7Fl25l99Xu3hGQYDBu61XHBrrwqS2/vRjl2ZzDKOLmGC2iJqwErgsVu
Sw926ttjDwx5a+Na2bsQZHexeqpjylKug5oZUy+kvzQioX7JtiPZXOjv6FAWWUArmyrqtkMnd7Dx
gW6DMv9nxoN5jEO42cX8VHSeeivo2ewX2zgMtU0xvh5sysEsoD1z3IUC97mVRZpvxA8lbex5WNiO
c+Gnq1XlxgOvL/85/pXMJIQHhVHs2qiRRwjW71MzkHXkZ+Igaud7nTUEGy/GpbIXCMneED+jGLva
Q2AeMMVvDaMzHtKDnRKroN9iG8dY6ubTq8q6/uA6EulTiU4skCgvGpcMOHQPzCJm+7PwkM0tiBVx
aksElQl7qiCwv6hgm8hrHcInWyrrXCPbNc30V06YCA0t1HuJb9wlgS9ibmd2ZQFT9MQDBHv9G5S3
hlgtVElj04qzUbExsAuilHPPuPNmfvnOnG1GS9A2s7e9s/wSlf3sl9FL1fj3vOAz9cz6+xD233Ce
bqIpvKua4ojPc5tbSPuSLH4oOwlOVuGfWFyKbUJPe5ckYBbcSN76Urjvix8Zh7mmX+fGxtmrmvd8
zs7SNUA8TeLgOQamWTM7WFmG7R69GNqI5HPthR8FvoB9D+pjF5iu8cAZJ8saIfzs8UwKItISZSK/
TDTJYpbP4WIZ+1EbYuHVfwCuRXNcREjwC5cwonPiiS+qN4GHGQ4kPHbYPnUvb3ofUsiCk+H8zjvf
fam6t25Obk2IXMyPh/zc5d68Y12qd20jbzeLTr1to6xywXs3wakzrOmZeLVX3uhzClgZR7tq7xm1
2HSOaUt7/2Sz/XVpYouNpHmzERTuHROQQWw3uzRxHlKwthw9K0SjKI1NV5rGvYzwbgSQEEy7/d3U
TBHdaFL4KTxjkwmoILCdWdJa7b7r/J+oy58yIwRTaLb3NFoyOPaJB+1B3JCBPmzIAltZ5S8W8qvO
LPJtPw5vDsXSHqsJtSjQ7SWVtRK1kFtPpAaPgk1/v3CrkB4FaMzFMBgjxglasW8bal3j1FOtXOSu
edLpcDgWwB9QahcnrTi2gebdA9fGI/zdntPoSvW8IoyT3oDJUw8gCoNCnj8rmLUb04mHrWDlXfU/
R0mAkb8YP5aqPySy+prEKSvxhbTjItE07vBLElArktSVLgt5ZU2iJHxz82pMub/D4uTvAar9Ync8
nPkgcIVnT2QXo7M3uuclwPiHRAbzzb3wsDgsDdORkQJayNuJXvQ074i9CsnQQZZiNwjYmbHJdVN7
hif5YC6lRCafu6CVFHtTkOGUv2U1L2AMBVosUrROfpqxzTEJDoQtvnbJEgVo/U9Pdj1fe2V/m2gI
Kbb9bLAk02Wc9bC2mv+eMiVWB9VXnyeIcsgvK0wIJVYTU4GByvQiaj0o3U37j9NaTu45ni6VxXqP
4orYtcv8atudieUdhUCn+vTqSz/YNRitaHiwlGhGSKThSGBf79E1TZz4faqKd7s254MR9vO+xR+L
RqYBmlskH7F2L6f6sDKi1kM2TayAA5ZBp4qrVLaU1XzHzXYWrCrqdTQWKx1XWOiDcAkeTfEEdxrd
VM3jj1zz0WyL0Ac1jsf1y51A1+5TUSxNeiJ1O1MLWeYLe4z5kpqu9ppDNgCQ2F3wpP2ai6WHhOmQ
SCHSxj2P5uUv4Wx9NehVuRWjymFbd197e+thbfWVTUU6hKfhbJr9ZesuH9Ke2dyv52EB8zwv/af/
bJevreh/47Kt4aVonVjZq3wABL8y2Bi7YKOaLAwhNMBYXx5zb14hvolXlG6foyIfT8wiyBwnM76D
I7kvTum8OVBJMwIbiTzi5q6F8QQ245dM7PzY0hy5QrapDwE4j000ZNMj0AeAev+QMV4cCtefLwbt
kL3o2B8tiQwBZ47COCYRKg9Q95bwPtJ4hs85jw1FId8lVoFbBC5mC1a39J7EOJ+iivVClXg/ZO3A
yBlhUSZp/KhCMr4RBlub3CgwQniqP0Dg/TGx5cLWX3+i11Y2r0YLXcTovohBhw0EBhyZJtV9MARX
DnXFd+Ldc7bA6UY44++5iOr7ILT+tCDcNtf7RXjnzp6oWh5pX3TII+PuSXnEU0zkPh67zL1y54EO
QeVM/1ZUPJX1AoTdc2MQ/sl0t8L5ZSr6O67vBxdCG99cAu3FP3bf5Q+nxbGx2BuVNN7OrqiZK6Z4
8BxeeSh7QGl9OLebtknnp2xJ1EGA5RhzIXd9PU0vpcSNYk3tfURscne5YTaugnrQtFZLk23am+ZS
Xg1aqFQ2CSOpnO5BZFz/kPXUH9ATMp9PaXbvvSQ4mKr7x52NaxzG0ZFuSrsM96En2myCy96nQX3F
B4QcC53Hvux56y5iZSdkCCZx7OKxvgdPZi5XRoVzP6JEm30ifAlateDI9r9ai95EZuX1yVDRwSCa
mVZDgqo6HXnKxfysQv+rHzjPiZzEedZ2IOW6L9mEADPIpx9EDX43SLZ8HuZ2fFSovSq/Mu4QQaNj
KJ1f6bAUx9rRgc7ssV5sgFPp7JIjw6rlyPLhMYqquFbuyHou2FbmUO8xPVcbRXzbRuSMVBm2/S0h
sO0TCA/PT58Ao9/cWTqPzDIQR+bzyZnKj8G24ReHuCXwYGYPUhyAMsGDe8nbuDqNTNIQ5vbsmsEv
TNbFZEWxH6sBjXsnxLkrvs5BxvYEED6UCHT5qPc0hiqydkmf6XQaGKeozH1urmY8YlAJEd3ybohF
3FQMM8d+gfxk5hF/aRfW+5wNq0XRgcZy9gU7WLRb8uFGBADivxcnhmhFlebEj632bUzER1BU3Jmd
f6xqnAtcN0reU/5kpf0+SaPoFkSTDS3Mufiif8nNSd06ONK39RVbFPqvRmbuPK+r4NS5FO9ZprLv
iTHxzOGJXR9iYGJa5uITcnMk/JrfOIbUgIw6QxGCKZLW7nhwgLDewwyIkvB8BaVoH2Vq3JstGReW
F14clMavMJGTT4J2+5c2dymf1x9FUJjHXO9xjDh7kuETsF3zborxPZkiEyXtNznwfNV1cmjH0nyM
Xh3tGV3zbdX9FCa6I8frhkMVIncD+bKcVV+GG2uUrMmUKJ76Ii6fgibJH0X/U5lQNqfB7s7J4Mdv
zRJf8KgF57bjRxRZ/UuJWzEG6I2rBIU86CFUfl39MB33mI3EExKvMyBvHX74hbBvoUSQFEqC8jLh
clULzADUOuTJrY1fsvHnAzSTYmtW0L+7Gkaak73KIeweInHrs3TE2zrQwh74FBPudDZiVz1EVrK9
n/PjCiUdyKMASzij6Sq4ESTUuyEQz06qcBi71sGue5JrbPPBbPStj0RH+On04gehICmXO3CIJGx7
GFXoMtWelJyedVpubMggaQ6+H74z0BRnMVtntsAfDea1+xyH025AaXiIisE/nkHntfvMbwK0sdbF
ChJsoAGW2NIMfK5sKrhjvtLmwAk0DvcUqcQT6mVxzLAlY17wPSgphjgYXl7uwgQNSWN1T2jL5Cdd
TYUsLjP/YyCudwB9xDPVn1IPE4qqU30P18e4gpRumjwOI8h5CBCT+MkSQ53yaoYSSI5PmSXVefFg
mVeybw9Vjl7XSGl0tPUpLPx/Mpbt76Q+72XLLjIxDA9F7CVpyvY0V/MP2sKwbjydljPO09bpIU8N
jRW95/cydM8AO4oHmVfuC8tr1GAdwL5UDdGW4Ef6zwR/w4AipNcjCqgLkhQ5N/aK2EC8CQm/3UtR
vbUAJ+ZlNhCAqZwdrQXEufSAWqbky9LPHLaLx2reY8S6tKojOr2zHutSzBxgxlUubl06/Z+HIvB2
MNXFJXTtd5IPSASV1c6tJS6HJlZovxGtM5XdRtyhN1cRBZJCDolYrA8DdWs3IurVW9z7YrmCoo8B
/n0pj7Gk49/N4Q4o5Cd/sD5jchuutoF/LpMAZQrky/QRtSCqOQduFr3RZSK6Rf1w1JJcVdEyPs3I
gIEYlk/jggAqDp075jsW9YThjCUx3KbIl4sfXiuz7u6ifzRj7bPwjcaDG4zza2z7x7zP1IlSlLMB
0T7u6z5Kt6hDkkfhsvb2nSU/hGxf25QcKoFBQDbl787M4mwThOqH2zWf0ryB7YMxil5oBLt9it6W
GatuKgxSl5wsuYc+Lhc3NG8yXaK96RsJLibeSZoSFZlbr+ykfo/I0G4YothmoDDZ1rX1G4EDZRPL
PisEt+aMfyjOS4c5o8bcOlDokJYLZBAz6FVK4xCCH8UQHVTvnWlOT9KOnjznx5Bl8gvdRma2pQCg
EvQfQV5gOGCUfBjk9pzCNVumJxLHdMaXVlvpDJembiYcRIg5tkSn6Sh/9uJTxUQX4wW/xWPyZS5C
1ogtwiRlcPCjur2WpuZIOQZWiQJVAJsj5sOpqPeJleDal4Vxi10TG3XYd6dSqFMjHCpd+oa1O2uX
O3BXvGa6O2FPEnfVfDXboLvVKB6uPu8eOgeyN83THimbnYol+lHGTfOOfHqXjsAgEzecPhkt5K3G
iF+zqDqpHt5VWdH/ENgnNoi56qOLmYZsCrlTpXLgX7H1Kc3Y3Q5MNPsk6sjn6Z14k6vRPqmwGvH9
56hpbGXsosG27qn+LT2V200lFibSmsV8YM+bvMxGquuueMOMial06hWCWGxOZdLSr8ywWlfhvuKX
kgaMhjFJWaHmbf0I4sdUdC7xEx0unrYozkNevAgjVYdQcQHQuriQhQy2QDJkAmCLjbnEAOxukT6A
8vROYeKonNA4ja3VX21VDQcHXTKZOlNGK8gXZ8xBH5bLokiM0MEiw40eXkhJomhFfGJVdLBVzCey
YJpNF3TTjjU2Z7cO2K/VJEpRg4QIqAx7l1RGdVw/aJHgVhZifhgtfk8wy1cfRBzNY39kJsKufADZ
F+DlL7Hh+N2LMK2tQkx9SiGizd53A6Q65KX6zSyy5bRql7I4RChmDRpx8Q15sGCUxYUcTQ4VxVIu
1oG1MgXSPv+KOW85uuVi34jpCo/tXP4cyrzbmHPon0Jk5dQjKzondnVLPRYXEeXVnTN12bXG8CSM
BivtRMfynPuNeXZNmk5w05mT0eUMUXH3SmcfIot6DCSC2vxlx2Yij6p1408Rtc17hUEoVV/TKlW3
IB/IVo7sdu8Eg3cp/JBNWm18crPMJ2WQQ9BBDsNOkm1N2ymf3KbJD46CjI7yTxNTA41g8H0IY151
58+GumA8oer55royPEf6DATHN0IAuiuberDoE2OBsj1cGgZiGWnWDxAEn5p46q5ZOox4taxh7+dA
vqxZfar0Aab/HuH2J4TG1ESnrHtqnc+NH8orOSBkImeddTP8odgube1Si8raKz7b7IzFVu2qQjxb
iTG9mqgWiZNb0IJMi30UjiAXhgu3RTPnnw2ZBdvUhInr0rAccfQf04C1a8jYtW1llAHBW56mnue3
rqefztimJ4uL+kDjsjVKEsXDWAZbJxGCnyo/1OQ6LzgKdyFT8usYITUrzAeENfFgzwvGzWdT5xGD
gbP5WhVnp3Z7Df8oDl3jm1i25BMFwvaqYuImhtjJQXWybHQp3BZzKO9Bt2sNm8mAremmaPJdhbbt
TFo77NDCGO4akJ5RcXoOBm4ie+xylpk32VXt3ad0mKIl2RWN/aZc69p0bXCECJGeccWUG9RRNE/I
3XrK5/Fp8eMREF927HPUOU5Yp2fi5ajTYNEAvZVsMvqrvQCcQgMz3MwMnhD9aPEMVpbuRY05z/Xq
kfEj5Lkevd9p1v2DyL09hhWwwtm/qH4sH/VAbLjKAJCR2wHAtFsenU1+3hLamGMoTm+InzGO8zT9
L/bOY0lyJMuyv9LSe+SAK7RluhfGmZs5dw/fQJyCc46vnwNEVEZkVHVV935EMi3M3DgMgKq+d++5
WOZihnqAfgLVIVm4TYpDOCAN2ilwLPi61zwmVnlqAJzsDUG/eSRpaDsQ7T4xKfyjhXNDdRpS/DKU
I33PND13mvvclc6JAu69pzGWxC7pIgH6+bXdiL2AYFcV+d4eLGPPmpudo2H1NljNNrGo7WpjUTKu
JQqrR+em7ilPdRbhjIqimCuiTZj1NFSUCq36NLw+O6awHD3UxLsgTNeGyiBTNdVTamff1CGrl+7Q
vTYNM1unD9fz92icwtoao3jq/JQdOPDiXac1D77TNgB2QTIO9WV0H23keZuW4EJOgTYFYknnVtB4
OuA0u8+jo2aq/bNpMe50pZlsFKv5JXz3t77fnK87/81zm3t/omFTzaXYm0y1JHAazWFCnTUurdEM
cu9IKCjWXCplimxizgQYCxVy0hdaqibLWEwahPl2iOGCppW3n6U1g4TxaNjIk7XOZ/pumgh8ahmv
AxOaiaN6N14jPdxAmOzmvn09dbqZQ3U7Yg/xFpMPUavJa2I4DWVZOC7lJSyRKni0jg/d5BdQJ2+r
6+XkPE0iH09Pk1VhuNoCV/APphwMgLNLPA5JEMT+VgNucrNn507mJJ+oZKVs6TccLHhy7eLRGjtQ
hGbgQz4kd+JInJ038VXmYA3KGLaW5+TUYYsHl01gJWo2zxiz5ax7EpPASY6MvPoIiJ066IOGzRSa
F+n00mD4cwsEXcQ+mHCsIcHM32S+mMVQpOjR8J6+3XyhGHq4iYCM/9aHdg1mSRGrkRmrN3/z+VqW
p/13odPPO8SklysNOkksD5kFTw6H+Zrz57X55gzhy3T9fqyLs18kBh6mPoan0cbrYcq2nQNuJdA9
IrcUkBlm2aAK48Ji9NqPZUY7iHbnSBbaZFLm6sw1nC/mm6POZDTEJIuPtD+1TjQcK29UmQewMabP
Nk41Ter5k/AtmkUKEWdnquo0jelWMOENjZJ1n+OjEVWftcFQ1v5UNJ3ZjNFcL2UOgotEWI8NWsXN
DGFM/gQzzohGUObWpqpD2Bg5Xeas7fe+eITlN5klZscEF3XeErTaxgauNCrCs1LGs50DFJKU6hs2
jtEu3lrQ3yx68FXOwsWfF62RnRpdK7dzbiDW/4mTMlWEaQ5qa2mE0W5KBsZlAHyxN69NJ9I2/18g
9j8TiOkGiqn/PgLwQrH1r/Kw+Qk/5GGO+odFKCBOCYZpjRUkQq8f8jDH/MPRQEGboNMdoqSnnOkf
EdSTBkxYlHAMTdj8Y5HN90MeZjh/QINUCY02dBuuvvO/YrmZU8hfFg9I2qa4QiBzkpkCLGgBJkLT
Tec3kpvbKax0WB/tEZ+uKC0OF1f2+M8t3IOJZ70ZzUAawRvo7ttcTjAraUYriJLPhXTIlTJN2COd
h1jabPeTVTAvuZ8dkiaO017HsI450cOCyIQYdylYfEuWN7kGUCdvHeybHQ370dUjYBwIgAMfwkXI
CK9HgD/AkVvqtyhS/bXA+ryo7tNsGw+jz8JKR/9d4Yeo6L7/8utdf//u/5Y2yXUWUFH8z3/X/8Em
0VW2OVtFB9Ew/Sy/wu1k45Su1klzD8NF7jw9MJaE65xjCszbTFG2dgrxjZmgu2ZyeFY9f6eP0Yui
2ZATcvzC1HR3dS6jZSOZvYXeSeZqu6xQN1DZtTdOy7Tck/YzpdV8/88/O801+dsPikoFHYyJuFAV
CAgN56+f3oVoldtNUOxdz31Oigl3ZyQ3sC6wjNYy2w6jBs7hKcXMBn+pkItCFFgkSucJJXm31Urw
eb0H0r+jArEUGQ1nRIINVnK7DxkHBdp90iCpt761eS5Whq4Ui4wU2czz+0VlYWQhNGuynm41fbwJ
tKJaENv3mVjwVHK3PhZxQMJi1jPoeU+mPl7BLZ1yMpxnvfUeRA6NLAu0vTrmmOhseDL4v2zn2vOZ
sINfaTaBjB5GaoruyElP3yeKC+/ZGe2lgtfWpGdvUGyLAn9JvsZb6c+ygPZ9SJF6OZDOeB7RSxdH
0cp1RXAPtdVW4tv+0H2fAu2k/AndYe/FWOV8PQE4YD8BeeZxFRCvLAox0j7mBfnoLUYxhPEKDf/a
uvhATgBpDUu1xWlWu34CP1s9FR17S+fD1LNUsR9M+z7VsXGVfYIXmxdRMlYFQWPemEn67gFZwdPV
gt5LY0LCtddouO/biBlzb746/l5z6DG7RY3g0jmaao4Mv2xc1uXVMUqAGMXht3G013KyO2SlCYTB
HAaEiNVVYY4oMHwDifioQ65LX8doQEdt4fQdx2LVtOUztUp+y44Q3qKBVFNkOrA1MnlK/wgeb8Rg
n1IYQ74PA8QxLrrbFEswZcyPoG4UzU2EoBzr8i4u9bUMUW+O08Kp7Q+JqN/ckvxDf8R0PZobP0hf
FTvpeUm0EK7aphvW3zeew1R6yIdvSftQYqdi7Z4+Yp9/KevqTcTUTM2GBkhP9atOP6owuNH9kkiR
ILiQZ6ayHdsnu8i/UQxRTJfVkBhY6uFn95xmZZnuMR9pxfWq+SyCAFGKflWohF9lob4NBhdVfUk0
ea55W5FrwKJHFihZ5ky6+2Gv+uCsmX5HdXth6bJlcnHys3Jbw8tz+m5fReW70G8IdjlgNXyoQIsw
ce9flclR3jSHyAgpxfKzOADaiPkEkcby3MvoNgzihdVNvFL8Zm8laQ4IheBF1XxyInEfR8HBVMZT
mPvqmmJHAlbCU+nhkmSZDJjts9vQrl4zvfqGm29revHG4kjCMNC81A5Gz4q3A6gAmnBXaThYIsl8
Vp2C56TLidW+B8BGRzB+I/bhy+WzlPFwSE3jVan8fKkTCbISUz+8J4qitZ5Dfk8NHmZEAFVUhFtK
oA89iv6i9a5hlr6DJ5tY8q/mABEPFh8tNffWCfOrUOItUj3gdop1G6PLrKe8FE2fQPOuzfotabeJ
p32mHHkLB5MMJrT4gZbSxlZ13Ki2cDmGwG9AjCMjo4d7WOG6owNIeRWjYxTxGjU9p9YeyJiOjUuW
QoBAvsEr3wzCIUkjmtjaZ2koO4oCkDgwJrAy89ZMLzldE0TRVWeQmwbYuAzdW0ZgIumCYelDQXff
dCs5Kal/J4e6XMLofsip6YKwwCrmdur19/dFrjilk29wTSNsCwEuCbBZ5g1WNxRhHEplEuxdDBRG
SOOX9LPR9L4Bfxlw1PSfceLRy5yY8IqRA1O/dnPtZrojpPUXwdC0e/mm1+6tZ8erirL2IsDkbjjO
i9MbJ885EgImKok4sGifxz0QOpe1JMK33N1mSL7xEqpLinXYMNF9LNTc3mYUhxeCyPhl4FvFprH9
e7eztF1IAqAOZG3p1zbrIc3baGZHkgQC6lp7MoghDEvcQ0KcbZE9ebKkLm4Rv8kpzBnNYmW/kqcX
rIqgP40BKVipJI+98UgC850V4YWQAhrHXDS1uK9KCD4WQZNYbCBESdpFzODBzmVI0HLjEXr/Lo7R
fPSp3m2Qz13ivHx0/f7aphJHa0k8QvZbhFH14QdEkcjG+DBwMWY1Kg/cyovSDRDIJC3RD9w1yOI2
N+UplQ5jIMK5xDde9B61V07jL4Qv4QMS5BSiwKVMiLAfRjrX0ahAxWq/eqO5sQO57L3kzVZ79UDF
raPBYoPUCxjag77cZEabb/TBungkjU+5Qvssbu57BauTpxIKJxh7gMIvrEh7T4oSFiehrCJqHUzR
1reor8hRdvXXXHGfSr+5Mijt4ebLWFd7KtHmNgVD9SoROFV03VIwT9IHaQbScsDSXuV6tCW96A4C
6UpxxHPiDHLRJCRcvIR5AB5uXDf2pARiIgJnbINcimhIs2+WOYk7azRXZ9OBGDvSvgGpbyPS4Quq
hmcvJV0isIkUdutp5WTDssSEJ8DwLJzcqC++rkJbSGR+ZaeBeoQQ+jHS5i562uh8B2qz7PAKJiQo
nZR6wb6ploxXnZ19BmpeAurN1MVgVOtkCKdl+b4m35SJi+GuHeu+nhowrYslNCY4KRHXqgkmRJrd
xxiAhCj0YasP+gMQW4IeFa/h5DL1+MV9ZzOCes5Br9tzry5MPz/YGcA/F4qtw3nLHetXythUW9kl
rjZWHGKha56mtSfn4gTXsX7qavMu7q2VqKP627TpgJhA0OP3oAf/7BXNx6hwECe++tyJbmGh7VvQ
qnvytOQugUPHjq6tEQk/i1KnT4itsTbjjzZt8Vky265xFsGvLI4yVq67pn0xGRCXI0rRjhwYO6WL
1sYsiosie0Rhs+qM+OzbBCgN9q2id5cwL0cIjSjlxEFp+nsXGPMCfSOnplHu0XTh1xph9lgP87dj
eFyaU1JCPMT76W0N29xMkjkntD+rEEDK0Asqp8FNyze0zQrPOHIoSupDccGOyAc3O+zjS+HGErqB
A7hSyvi6ad9GWheQwppqW1ZbqdrG2s47sbTADAOyEfu6tw3ikJMbI0PHw6meVum6QIQIQejbWAiK
RZ22Q/3XL40Yk4FuDdky7QL0FmVwQJpTLM0AgxVJPC7JgyDAbLPcOCMogjyhlSy761jo+KuhJqP3
1uFC68aBClCwLhP84U2bnyIzvtdqB2CnzgomMo13pDmkPgMkHPCOA19JHgh6YK6ggJ72Tec+jHwb
lB+xOxPoxY3UO61Zkrubrl0LUzmon5PUuj3zkoaGk/xEK+2u01El3o00cVotXXAa9JEWEKyIBcch
6363ROjaqLcpleqF5gU35IrRFZJ4xAC2FJywmgr/Z7iIq33vkSqsxLQ23dKAf2Nrqx4R9FpF4Qva
Rt0XQjnGJo2aoVVob3rmyo7dhBJucYf4M1qhfq9X5AIfm1hXUAZzeChFQowNSSDUMP14Vwc6RhrE
gXjFK3QyOPGwkE4XqjOJrf68OV/TBvuI0DfYznd2SoTUi2rOar7z+xOM67gce2ZGQFF+vsR8bVDH
diNahdYNHoGsU+VqAB2NxG/re6NNkX2OIg3wC8LeCJeK7tG1m3aY+UKfPtD8QvPNHKdFCnlrM2vf
+5Z+/GK+Gqku6ws3X3qO821Wwqf+BLCwunwtkKzsc13bJ7D0F4YQxRZ1NZC+ErY4CziPUmh6J+iT
NeHg3puIg4loBxQxCerna/NbeLNtaP4jAUvYBEwN77nLiclDwkignF3RMkpUfi9idwLwgPtWdOsC
3w+Fai3dYxpAaSYbbxH7zngO5bRiMqx8ayjVDvvVeGSX8S/QIv0LiVK0/Qcw1UVRkQOIiHjpaVV4
9l3KQT35GEDQwT2Sx3jX9QwKvVvrt4J02FVJluGGGQyzubhoMdsS8GraWHKw9Fg3lq4FBz2JtJVn
FtjOMaQuRaIZa3IsadgOCkFGTsG8vUuXVRSqSOeVNfw9kpxltjc9GZxISnisE6VnloiMJqaRBT3x
Sq2NEXkckweHXoA/DnKjaLmF5YD3r6zeO3Wt9Y36wvtYjhENA2apVUkMsrKJkZgRQWLlVIdz89bX
wgP8iQa03hgQBMz5Ic0ZKuoExmTlW/HLyICEDwLeOyGMx2I6z5oOvOnCK28Sk7RzSmhijfX3jo5O
f9WNLKbUCSFKw1872pQ6fLv0LlofsFZPrT1rfBOdlhve1OAQycRtIDuK9K2tT2OkyANSKtygSpIe
U42ZGKyk6sEbIPD6EGRWmkBm5vpt/CyEd5O5BtKOCCI96G3vno73l1Fw/p6AaViA6j28AwNfR/cN
QUW/FR0Ee3YRZ+XoxD53nUdaq94yxxTOsbMVcYRTL63wdqjp6LDkfqYKM0UGy+Fi2u11FIVyGzXe
G3mBwz7PzDdyzvxj5AIb7+0p2bMOwnPt1sFZMcC6uXTVVg34h2EshnvFVgDTpy1ny1i/taR0wFNX
6V5piW6CxLhgVW9f90OJ+j/KxxbhKjNWCNL6KZ8uWtW8HjoIpb7UojWebP0hEPZ1lHfJLmj6K7S1
+bWU7rkLtXjnGHV19PruIRYx2HNS68ZRXDurNG3C21Iz5CmI7Z3v0RhjaXI7DMCswhKtRZebz4Fd
EsuRRO2mswwHb71XLzobonIqGVXV4tllNrJiEDP2lRXKfdxmazMp83NeWIAiEtIybOJpA8u49ohY
3SkV8J5IxjWwf1Af3b1WUXgYTRuQsO9dcHMSphHr2bZvvQMa9HTjJ+5H3Ub5rdarpMi3Yjv4JkZC
nAN7RRu/tUCRdwEEIzQkeyTfR6NVSflgzy0re0Ot+SEJ2oPv0y8ScF82wk+fXPKwb0XaIA0rq2MH
x7BQk2CVC3aIFlcF0znv6FGVEZjAiDarU7c7W2Cg947d3wQDsWKZhZCrMCMLYC/reM0CblJXOjAQ
xVeOYIrqFqNiU+bAtJvmM4xr/9L0zjc3MR5byUymH8tt3g3lTcme6xdectC8DL3UaOw1cpeoaONR
H0YmR6arU4cIXowga29xIq6VOjqUSerdhAPcPAPuFrW4lAUIUqExRsSp0EcjmUszknBtQr6h77KR
YZJugzDG56VTesHWSEFh4WVDfTS7qDkuKOiVN1aQkN8ySm3pOma/tYcKpUBjkK/Up+rRV4YL8+lw
k0F63rvKdozQv6kqSZjEpSprTwxnNxr1QxmbQPcSXW6DWtpny4ZygP8SrI7q4ve20wdL6Z7rVlOv
yqeiVIL7pm9WEVWOa/S7CEqZMCaqdat6Bmm8XmyuUxMdPtCNSDA7r0t0WI3dRavEqPQ1ZoBkVfXO
h5ckwxadVnHscTgIa9zoOcoHaqWb3HMordnmwyCTetdaLcsjKnB9HMpdrqKSwtB4wplb6uGVaF1v
7dWdexgkeJn8mGTItMcYaFBWqTfULBdOxc6JgAihO7QOKQ+0aeVhvhYEp7xgSFYKIMaLcrralyeW
wO4hnaKGvTbcdQMRwKHMkRyq1JKUsocyBeWrWQ5Ti2rOJY794itVtAFDCFybkHrxQlNlsw6igd7w
zFr6fjWYiEtMaOJDAh047VT3osexsRqdoWb+wbHWkH7b9WiZzEk0Widhsp7V0X5lrvzJKswKw1nO
f5ovhko+9uRDb6I6Q3A75/G2SNF/XI2yItirJEOpiaXC6OJivqZbPYyEFjnk99sgK2EOhwSLkbNG
cHVJb2a+lrIOZ4YP2+pg957Beiddznc0gecss36CkUwTF0ivAOhCTMdqRnD0/Dd3nrr8vNtm7F97
VfTCaZ60+YgO48875xeYL37728+bqjoZKLsSfEDpsQb9+ZRCMJ/1UhWZ4J8fZr4X/xJP+eWqllOy
tXy6jj+f/cuD5j86io2moipihCTT5Ou31/ztpnQ0Yiw9v/z+OH/iMdQ6QK+fb/DbM+Y7fvvbz5ta
z5EbQCHNp9kiJ0JvQX+XdFuIYyNda/SWVeaH6/nuwkTUB1uULxmWt4A7IA7TxWZRx4Vwg+ZA8ZT4
tPm2M/2xr2CPRdB+1zkgQRqKCSkydgsjpBiUuzh17tEKZXgB2AM4rt4lJZ+1lQ2ZumYXz4i6Z1cA
F8kCH/kUmn49vpMYU8lbKbaKkRBJGlclRYHZoDAZt0NTfenTcV+23QdpAwTiwaD13KsGOkya0NNk
YsEAOVjo8wXmJfYi8M/M0632ATw1XOsovwsC8eUThSetYuUZ8jrTvFc7I4yWVIgzldivEpl7G1wX
fUPmQhNAabODPcvu5zYgWpRWwVJLjDe7UvDSKCp53KXyirmJo054y5BwPqXo34kqhtSVw432lYbm
qUf6ZVkPV0amfLk2E2Cp3aWd+RBGHd197AiN7lzPHQSQ81R44+6dCMiVl7EysvX8qTQ/nZ5KLhrE
CzyTHVqcVqUCpJYdWm7sD+YULmD0R3rex0TxtrrmvejTdwZ+l1eT78E5CiSRTBB93q1b1cz/wqbf
9JMv0/PSOyUizKYHhA39NCoEck7zolvNI9pPw6eYHheP7WDdWhnB8pkJqTVQPirHJMKhQgM72Ti1
8SGiWbvTTGxSiMSJIK12WJIOMXO3KHIjhAuut0vkgOTIbs+t+4WHnGkRVhtsbiyQXTK5K9u4Kjwj
xs1QM++MAeMIENAlwJtFp7EakPFDbzjALbtx4xxLJlvkDzlyJalDyAJxneCctDRDpv+eUtzWxcMQ
Dd2XztKURhpIw5dB6TZF7+61xkWS3KH8kld1WnCaNKbp+Vl1wnsTtDYYTnkn+lU4QHozCUFurwrH
2tnBsJL1S9tVuAk65b2TxQkzGThOD2lU+Jjr4VPv+sT0uY2xdfLwSMs7WcuOLHWKCLcOXt+VY+dv
GWnZC1mR7cCJZIvzFFggoQwbrMTWhr1nAvIUGi8jh5VLM2lqeaEmpQmRIM9ZmLlF9jKJBJHjaEjb
mch700LGzjJSg5KPUun65ai32bLaGVCemUSTPpFElUuwNRsw71LqTwNrQVbqBwcy/XArFfw7+eh8
iCa+mMKsl3rvRktonuyM7o0OIJEkFVhRlBTvHYPAWEKUH4IMYb9aPbIo27OWQL3Y8tuZKnwez7Su
sfVjYgMKyZE+HjM//swCCOHRXRbLL+DmgMez/CAjosmNEdGKK/WXSjVsgsp7fAV5uDSpqC71mNRW
AfkzVM1+Jajf609ZTJpllggKQTERuxZmLiLlCqBefRahwICjQP+pNxuHBAkUXYLtJr3oeYA83pAi
QqEI0ymbIE+RTPTpC6a2aKNPx1puJyxaDmjSztP/bkheUMzUlQKnsY5qxlfFKu/Z4TnTkLu3kmXd
Er7grMqMkl0RU2UoRwbHDB+giXF52auTXTK0l5k/Qp6Ks1XQEdpajwQKlbp3TmgVMJoJkgFU7wS1
Y7AlKZyDoq9jb0Df3KUUir+RgGAf4cv7m3FSkIJM7VdZVEnat1j4nOi5pDyyNhICZIyyuHNjkeIt
ji/EYlFuUp6TXtCg6jiubEHBzn7RM+nyedmQWgj7kCDBM6sVulruXWsOL6hh30vqIfwa2gtMs7LX
1y5BSpjZP2v6kGUU3cLTW4sOO5lrew9TQ5puV7GAzQzW2I63ZVcEa3viXwlkbcsOc8jSdZnSI7bu
FwKyN1i2cE/uAur4BJGirKevX0Prcwpm6qVhUckT2xh92sY3WQ/22GEE65NlZanXtaJ0a6RB73rh
V9tQH7x1oe4rGmllnLAL6iY9P/MLQcseLebRapVLPxXsCZENcdHsAZ97K72BKAKJDjKx8q774SmK
s/dyqqfrWErofpTZ8cqRk5lEuovcUIKtsHeyr/O9qw/vU/JjSdlZ0bTHNqB0Uw/BN7f/6hWCEKMU
p31WnjuN9q5C6Ttip1Mpnar2V0TJYJPntA6oyCzrON351ogIOSK9C5UY8n0kMAPRDgnqT2qw2EKt
b4FG1ziM3o1Yxxwcj1QEIXYtpdfdjKXzHnEOzRXrQUTaMRk5GnRNvyhJC5xBQ99dkZnA8V0u64rP
FGdsdAUtn5valzBKmqWdVnLhEDfD0c7Wx7OwZAYRFvNPYWKxIq7NlSVch2Jgh3DVcpNI5dbhsISt
XGtwsFt2e1due0NGq1rZxcpnSXIidQM6O9iiSXBOsNomffEYxZc4k2S6I+ta4C8HbqdfNQ1W1T7H
59qcVbIw1nkzrIHvXUl1AsmHTJKKkcmBHnu7ueH/f977//A+sx9qhWoO63vPcniTnl//dvO/7rOE
//7v9Jw/H/PXZ/zXVfBeZlX2Vf/TR20/s/Nr8ln9/qC/vDLv/uPTrV7r17/cWM96mpvmsxxuPyvo
O38LGZwe+T+9898+/yeqHIuaw7ylvm+o6Q1+PHH6Bv/578vXOPhijRe8/irN+f6sH8ocQkX+mEQv
wgKZZBBjKP5U5iCE+cNULVUKaWsmJFdEFH9T5uhEKWJAkUi5hWMg2/mpzNH/sAyDloCjggGY/ED/
G3CT/puQg74H0hMNqJQwEEwDnfqrkKMeDdZ0DVZxPAkSdSwz47o3Ka3k/dbL/fYhM/sUx1Pg0GKz
qA2TjQVjJ8gJxm6QEbPXJGr87iUYV4DtQYRMz1CPVpB6SadNmZhJBRPL8AJlhdVzGbf0AcxdJSnE
O05/ScOhv8jasb8Lyf6yx/6qr7H+jkfF9lalDiiPFraDiOmvX8xMhzySftOePdCq204S91Wb76NZ
Wju/9tITUiF/pZHitU1LYhCapnJOZdczrvnmZ+2P+VH27SWbXBS6xgkILkXNfLy1r5gxr7FoNtcC
D/+SvlC003rUdKWD2t113I826oIdIau34Ke0e5FkJfqFqkXvnLfHwAFrb6vpV535HaVt+EeDWa8V
MCV7j+CbowGi5BhxPlr2oqLKM0QeohjNPRp+d+0qikPZtzUegKiTriBM/+ivrVRBvDo4yp095gZN
e8YTj1XEv9imNvvqrzKuaWcxbWE7Upe42lCT/bZNA+E7Nm3pM95rwAWNH2xkS5iKN3nyKH4trRxT
toI9/2gEjAVpHr6wcv5wTK/aBrLQsaTmm5i2xqVtG2NXZ3WDUaXVF3T4y7607lB9RNgMS8YXW3+g
IljQVKXvFdcgaWLkBS3oHap42LHxreEZJa6AFmB3T9aQB5gjvOvhjcLpJHNtG/vgQIWeZGez1/xt
QYYYdU6pYXZ34gvhWoh12yngVxOYvPQOv4lgW8rx2gGL8Dh46EVFwrIA+OFVpGWTIOOAgSHCzzrW
pPpZtxGSoF3o18mjXjNtboqTQcjKrAX9edHKoAeNEv6Ivv1v93Ht7w9eYRoqtArke5qN//mvv4cg
mIlkxbg6p9ZbNAmDnUkYzNCs7OjnMhtx9eDYwqa76lsz2Ealv7Zdqua6f6wpX0Gtsc5NbYIppiFr
+Aq+zhXMVfXxl5PiP9C62b/tNkITKAiFIZEsThfTbvVLjqulEhacV156VnWlOoSRdZXaiQW/g3A0
GovyX7wdObN/3U2n95OTFNKkPwXh9rdDn6YW5eXSz85UzelmKNpnUUewoBXdQryqmeehjsBVGqO8
KzigFiqhrrZssqNk6eo1pnorbo1Beo+1oSZ7FdDJqhBvIboskBnKI3N1sO5MA7aZi5W3koO4ysYE
VqeODaBSXfvqX2y/6QP/Ip9U2Xq6qlu6Sc/dnkaTv25AIH5or9MkOAPhewEHjIvLZ+fvHa3kdIWy
ywMasBbCatcVoYAngzPRsRwbfYOt4TYIdG8FQwSdB08yBs6GuEau54vIlJ/kbIi9EXAIwteJVp06
esd+TOtl5ZcbnUiaU6vx7Ygh7TZdQ1HcLboDfjKUHAnadLLNtIMaFOamKkV8VoVb0AwOxROVDn8J
XQpkEkEjIdWeBS7IZpXUS0+OFaeAvNp4eYfbElQOQRfxUqsllRC6JgdN5AZSu+arrlT/rJRkgLgM
qMTIBdrJcdAW5UM07tCnVEc3owmeEyZ+/ufb3fr7HckR0/Bo2FIHlWhOx98vO65qN5AJLJeURQdT
W68vNAjVN45VPne+wom3pVjWAUkhVW34iDQn/DQSbaWHWfdaREJblsxjLz4m7X3UKe221oV7Gw4U
SYLpsW217A1l+MBYcTYjY98TzfUSTkIwpBQon/xhuC5iEg9LK+ZMRJroq6m5lOLzW5Ml9wq+M8li
7SiWejFcIwrt6BcBZrHwr+29VLvr9ClDVy8IFsALgRlJTUmXV/HZmr25C1J7rSAf2PUjsGHTTuOz
By+ldctvbdTnF2jU5aMpbkq96p+cyqrxdv8rESxkht93bWQ0nBFsYJRIlC0xyWR/2cQ2LX219Gvj
qk5wjBZarB2B8mpHtepVepuBto3xB+/mO+aL3nFdZalMjynBmRUAFf/2HM0ldWMETvLzT788xALm
hIxjeuLPV2srllm47PLV99ed73aJ+lVIXvrzkaOtKMs0cMwJMm6gdOIdla5M9vC2N788cb7j+1vO
HxA8mruRpvn4/W/k0vEJfr75ICN+DFc0rMt8cgX+0Xf6+egfr6t9ADIcDt8/w58f8ZcPO324759p
fsz3N8VueyEFWiuRFFq1ox6z6WHzA1xUucr3LT/fM18M8+afr5ocshHmCsb4rdaiBSBF4aQY7hHe
oNxZQJKr5qrVOPW1UMbXGEdcVGnkMLESpcdjjV+U3qPNUD9QYvoCuKftm8g4heb4BQiFfKohuK8j
IgN7JG1+1L/ldDxWYdMSEAy+Gz8U3Hw1f6BcfA4rPUKmYHvbsUyf9IDpKg2oq7RR10GJoLJJkyMD
fr6g+EhpK1XWVFkIvSKjbZHXLOa9gmlC5OpnXScCeOhvOoXh3APpGBA+U3c21k03CFD4uQoFU0IP
HIy1ujv5RFRwXimnUTSs3iJwsNCq4SezM2hqCovNBAFlKoCd6vYTIN2zjds5pKAXifAqMJQ9P1u9
iezyWmv1C2F+wzoKO7FQ6xTmil0PK9Eo24TDYIU6iLBKI7v1jYYByW4paqDUiV+cpJwY/3kOag7Z
mlHBZkdltAypGrSZlHwq6kKJ7SypMAKWj/ITZAl7XaF4R8CkPY89lX3HQCUqzh6ZXUcFp9IizgZ0
T7LZlQQgVSnmRatAH0hu2XPkqojQaXFocf8RWvmdblILzmz9NvTKK1nUDpnLye3omWzgKt8WsvK3
mGiU1L0nYtpdedSTMrVDkte+C0q/ZZxG2xruFbrYwrgY5guWzyUprQZptPlcr6WpVIIBsMHzebZ2
zIiM1TUytoaAmHMqyQhCfNs+MGIfoU3RT/bjYBPiP0TmxnYQ/Hph/x4U8W0ycUl0h7NkBlY/B4zg
aYq6H0RRrZSeHSx1SFRx61PSZA04U2vfT/1fk7Ca0qt3WmgxvPvFqbAGWoBIwgB7hJzVU7Y0Wb6k
QYQ6mVe+R78yZHaTcCqOxINWEBo3EtmN3IqSVg9VXa+atRgzwcYHh1IiKC+FAg+JpFKqkf2X6KJD
3D+aVvhhZ80GtHS7Bjpxm0I4PTmWOBAlTuIDRaJN0TWk07dvhvBPJCYgIAxua8b5BTSaU1pEdy2B
CGFeTegyikkd2iYz3rmKdqxj67GHjX2ho02kbIMypGqvy8IuVzUrvVHN7nwKDcsms+21R/NasfRm
jb4JS35F1oDw5Kb9f+ydx5LjSpZt/+XNUQbA4RCDNwlqHVpNYBGZeaG1Q379W0BU9S2rfpOet1ka
jGSQTJAEHO7n7L12ZQVHpL2bLsZr3pWzLiegjoOqrtWtYg1TjUitAUbVrLul9p/+niwEhzQg0VVC
SyjRKpU5lZrK6K5tppI7GBFnzGiYOrR0p4+0SU2KJzbUQ8MNzTuq08GxJ1g2j53vTgtuDFjp0W2S
17El7qmne7jPkV6N/phvZKIfiSiXK+xcnKR28EC6KXVR4utDTO62ptaCycY2IOaS1TrhSiNhbnYw
XrtnJ05voieLmgGRRM3cX00TddLGbUn5GOJr21jmKiPT7C6WzXNFqO7WmAyMvsgtB5QUd0Ne7ifm
l3e2V7ww2drGMZgOO4i3FNPOwC+zgzKrD44hko2wmuwF+HtY6pgJqNuTVFrJD83l+xvgYm1wNpsz
m4VoLmKT74bk7Nq0e500MyAAWE8mM9Q7LtuQbgjnW2GQIPjYc//0Dagl9hDbY+TQAA6/JQ3xYv6m
I2lPOKu1Vy0SjH528NY51o6lGEmIk/JWFtJEIERD5ZIPSLuLATLFth6yUBpH6wRfF5EYq6IptuKH
lFSezhyb+4YU+Li2Di1ZxvwAot7ZNmqRkiBweFSet51g9g4qBjmgks+k63DtmjgfMRun6i0keW2g
QgzdxKLDOCT12mvVdZT3RaWZh2Fuf8SljTJwGjDT2g9qMt2NGFk0qsw71SPVYs+jSaCns9hdFzsL
9blTVdqpu/Wda56wQMzG/6eITOOA8XAFhgBekp8RRVNnT6S4MgNVFkZfM9wjmc53hvwkyPVstijW
KVM+S9M9Oz6/8KTCA65S9Lw+NTwMKk9m5SCoVKRCmIUxbDvxxQnW7dI2ekkYOFdj3dB5M6sd5e3T
lNDgLXsLkVYS7DJ60IOn5+uxbqnNx9ytnfK1SvTHu7KYPnIMHiDeYEB4sUHCmP1eV8M1ZOgss2nX
EiwFBwa4ZWGFaPSlexeF8G57hGh0qrXdAPgf6ekwYlFyAV9E3qEXBjNoIZ4MLQ0p4CBwL9FpQGFW
z62G3qMytGqdaZWz9ZR3Un4pdxQm7p14eIq7CaN5eNE7/w/ykj9Gi+LfoLMlqeevDGN418nmuTNC
UlaiWTAblcSBxEN7qWhorq0ex3TQEgco8ze7Jmxu4iDHAUZ/FEkpwqrqEGbnhhgvBpioBL/dR95+
HH3jHe1xt/F0qz91gaddSb3FgzE/Y9ksd5MpD266HQ4nX07dZnnZ/HqDL+aXG/B/d9OkPSpiHPYl
YbC7IAniZxrBfy3v0fTjBQJe+1ZxPd1aGemluLk1Ypfm9sr8Hrn70BHY+m3HSbQuEJFfB1U05xQ8
yFp4tfbRZWQ7zDvlTLBTHK7hD6Y2FIRap9muzYi7g3WjQ35Nv4gpqX+bGVqwqFHvmkVkp2tqxZmy
S3/R9HBYe3qbfWp2sF2eylcPVDoJKI+E3cjqrSescJqQzFgcuj/v1pEE06S/TAcxORny+k3PXXyi
IWnxBqWWFzK83uX8/0LPunS+E74jCW02YObCcw+o6RIkXDKQq4+f6Ew2vWFXvweH5sTYVu0TUx7o
arizRr/z9l1nGA96ixBseRoOEmGV1vfYkC8oUM/cxmAwjrJR1bbX6+jVMd3X5ZlyguAFA/CtDVw8
As5g0Zdtgiv53RopnYbXaZ85+ddFJevfbhABobBF/ASRRUNyTfiqo2ztwapMGjHzZ7EwAdQ69EjC
y8FjTy7aItqTR5sAtG2n14oVvPu8fEFGWt1zuareUknkCedBf6qSqr5Kh2ZxoZv1FxSF1fJUetsY
kopCPpa08vd2YXX7HK/bYypILF6e4jHbdUPX/4LYgjQGbSNuDzs5aRrqn8ot5KvvhU/LU4M2eCSP
lbJBpbubupTFaRYgABPAnJ/ZrfWlkDb/fJEuMRH5lHePhj8hygzCcm/0Sn+Es939/McAzeBQugjt
A95DNqQBtcZYnhu9skhrG9AW6lnxq7fetCk1vzo/1NdVV+vnIi3U1aQ6+PMEpFG1sNJvCBftGnqt
f+40LbwijqVdNYr8F4ntad0b35kdlmvL6ovLaPXi0hVGuF7+i2w1dBxwuk2Caeqq6eLbTnPpocqs
q3h0vl1iVZddwTnGwO94Fxdh9cUo22adFS7X5EakZ7/bL89iygc3hv/rWgyaOC9P0DF3fY3a47I/
tt+QBD1G+jVJLXX2GimArEzNV4dV4GeHQtLDCtp217E04rNeIfHLlXQ/8YT+PIM6RA1bN6tuDJ7y
FI5mvFEIvz6bofn51NLrIc5FhoHzI+tPynPKTciI94G04udjk+UYIU7Kw3uEVNkpm4emeXH/YUfQ
eeYPPCl+HtPzm/skEC5yKR1ys5WGH/nYbpfP4gtX3pmFDWxBi1gbVNOxiyDacDCN7/Fg7Zb3UZqE
LuTYyYMc6+oYcM3d2rYWv3cBEdjzbxQOlBLCuB4eGlMLyIeZiK4kufeN6cFxeUYSqPYu4pR4oOFl
HcxMH7YxedWt6RSvqDxWqAKGr8hNvLXUx+hEfDhCzEr/hdB6+OLkgZRDIO3NDZnt6yElDWd+AUYp
aLaOfElN4e91m4UNjtD+00BEOL/QlDEJ9NQ1jlzP05kn0WxtgErLH2Ha0vEdS/vaS1ddyfPLft41
TqbHvtfb5xjF4kFWqN0KGFhfds/kxg6+1EB3rdXD4uClevViUuBbdl+3VU+KWiYueeAPNyPFkrDs
ZtcNn0o6yVPbCHGMCjfeLI/nMyWhUf1HORbMTgjo20NHMV8nx9ovu0hUfQAnaDTOEEvEvaRd9vOO
doJmhUAu94GWtXnqRsbq5S1t3KFm2obvdAiNHU7Uaad7dvKuRxZJBXwlBDWOa9wDFA702n9QIw1w
z2aRprmNd1/mBsaSpjLuyyYS50n12mr57EMZHijzTK9FLlmfGQPp1YM3fZSI2I12nO5pc7QYQHz0
tmVtAkeysqeWJLufvSLvjhSrAj8VoV8XV6MvsPyhCadrEjj5SzfhDlaoDGjvt8kXWWrL3rYT6cno
zuUhpA18h3eLGrFZPP58O01L8zwoQbdnvnOVYUMQ0XxY1ABAegqjT47Rp8cBSOXPD5hqJ5ML/aeL
fQWYd84hMxT2i1tHLE/5gTVDM+CrcYi1Qe/flsOOsCPr04x3uhn+wtajPQYIUI+eZdYbjKDvygdh
V5QpSoEW+XYdQ0EiAXafCVldUNAyNclFh6OkcC5lgnLEdcaJkbDjqgq3B9LJIXYw88CR7oi7A/qk
W7M+p00x6HXuLVYTmufauhSgfnS39HbIhBFHTt/2mGj3Jnr5jeht4pAa0Fckg41r2i+fjgveojEg
62W9W7wUrneICIm7A5wjjkMHMzpnDYgp2rk4glV1YLUkKEU03pCkPGmp9UkZYw/+XL62kL5Wptl1
+9YGYIa3gmRpWZIq2sF8mFRSnfzKKX82ARFadw71pPlHy4+OG/3LmrA4BsCEn+qhCncLoH95yvL4
fz5veXDZiDl24OcuUG5IftNpednyBsvj02J/WG7+/SDDuLcqHInfjvBs1k6zni2BIYEux1l1GuaS
yW1QDpF+hIhNIxckyV9zx6L+ErECCjU17QpXvUbhO/nJHhNitIf1LH9sFu3hvElanbluiSNvzMGC
GH7TH3sV8eXq2lq6k7xz+Yq2qf3lKH08gDRVx6JOFfLqotx0bdpyEYBjg2zMQYP784RuDm9IAEQC
y2Cz3EpOOsWpvRjMpyTtsRaFzVHpf3Dn84HCWX23bPD5oQ/BX0o3xgQ0pgh+zcZNVHXv+DCKEzwk
wt9Q4jloUSxZ3TJHnJ0A29Ly9XCWNeC2SbwoZmyZrbFgiKvuZflwVEfLI+KzTC/nkiMZDsr6XvId
NFYq29yJXoyu5L0b9azHANEXF8xijqkMmLOrWBnnyCgA5M++muWvORxUMGPEcrYjmCZEOKGDIzvP
nTUThaAkVmvZsVDEpKqXrOJQVPOJp1gL+NGIn6ifm4SHRaPdI0uH9md2VwscDhDzV2gGYmPMaWqu
C9SkxGZ3xLSP/TmHTwCs0T/6yJzWVK9w2s/Hx8+7y1kTudzPgByt4kG2hCGqg+HH+4aW4X4y2nwT
MFTRYtFntFbbrm1JySGOUgJHJ0db2R20qU6htLHydqeHNFJBMg87s3HOtjZCL48S7L10oWmIlJ62
ner+FazP1ingqxVYWo4sFi0lo2Ook0yG3K0+1t1AEXKO1pHgW+/imfNSzsE7BqKajREKm8Bl/1dP
Ok/s+Bky8RoAUCWu1hzhU5Plk04EI5tD/7oE/S6Bvs2SjjNbfOrF2IMsLd+qEMqPSmwQFrV4nSLP
vvgpma2tc69B6D1NZsr8MC7dQ8ubXJq+6xBfeda2rjTW6bG0NsC3oDEZUbvz4dA2rd3Dbjftldkl
404anbcRndFetQgDLLFir0q200nFAuRXY5WP01gla+D19gVEltjGQktR34WEVMwkNh93ybFrDXH0
ByjM48DcYvBZGnNpQDOniR1qgvzmtpLQDQrEAC0LvYTJqY/PBCD590nhxRuRIo8lPnV61ECVIcwT
pLe01GwTiEpHY6TDEcsKDFFvGPtyDtEOLe+CAcXZ2jMnPVkSn9o5/KkhBWphbS4bgjjvvQYH1FiY
Z3cewMKZwv33JtEMPC4FKYe6o/0KkuhFn4OomID5+L3aVxuzUZMMNBsoiDh6Bahpzulxuk85k25G
7F+hMKuj00iW4G68D2FnIcdn5s95DS2nDwnsJlah3vWgdLI5FvDvTTETdybyse/AeH8DbsBrO3N5
QgA9y/73M7NnmOk97czxWYKQlw0lJ7CHzqs3U38aTtAjQrtbNBOBUiwCx+Wh/L9udTNDyHfk6zRT
hdIFMPQ3qt0c4Q/pzvAeJPTEqdbcwyHTORNnWtECLkoXiNFynDuo5RgNNW/slshoNZOP+pmBJIEh
JTFUJH3mIy1xy1VKZMyyWe7qaFhSFApcYHXK5/bMW+rnT7JsspnG5M9cpmHGNE3zppypTRkEZwT+
oVjlU3EtOv15ibcOfXZh2bgzdGm55f/XLd5M3OUVvfwkhqClZqrWcssa/H+/u/xBhyeSxXa5D2bC
+7JZMO/Y6F4CC3ZVOKOsls2Cr/dnPNbfj7kzASueWVhaBRXLn/lY4UzKCl0H75CwX9rAxoc887Tc
+aXJnDIYzrQtmVUDfm9nOEwzimtmchmeC55rmElddN0ojbpcMUwyCuFNOKW5BXD6anUThRpLf/AV
mdXZzPcCkByipmO8COYerDaTwtJ6bpRyRVw2NrP1u0LHZbl8Ee2c2GjM3LElsXz5OKCN053Pch1I
WS5mWlmUfOmtjFEDButqJpq18zi1DFvtzDsrqBnSCPHvKa9h7JwE8ImwH45yhqQhdAF0PNPTisnT
j/FMVEtAq7FEYtDOZt6aOZPXfu6DYJ61wOnBnAlt+sxqs2Z8V+WVR6iAmyUgYMkLUK0p0rvUCTBB
AX5L51yocT5XluFgufUfjwU2B6KnKjquHBetKrwNJGXCcomC26RhHa6SIsnP9Ao90sQIedZCwD+4
aHHEZbqiu8tizCys5wQi8VYfYvdGyNG2ZZn7RQ8mW2eeJSlMKwA1PtG/faWdK3rSF9SzLSXggMcF
TjpnSs4CFc8Rfto2GsLq08vAntJifQYIOJxwDYI2eApnDmreTN41R2NQCK07xh4NQYFHlasRmms7
MJrdCKP/1lclmRtKy9e+a+OeR7JTbRoTJSqqhJBarCnPhix2WWKH91kProXZ+xzNkgWUlON5ueLI
K4qX/sGkwrsZ3Eonn7LvH6BqsIwydJ9kznFrTlp+nxEVN9q2uMeUma9Mj9ZNHRENSvHl3fAsLPPV
PFrHg4lEt0vOBjoxvPei2NpmmpydEgd5G7ozZjbwntMu/l3rfnlZ7lGLZwpYIMXHekQuiSetN3yx
q1FzjM/W0uyNsAzUF2YWvQ1WtVked0oy+gYzNA62SOrXOqt3RRHLR68vPmqiqpGyC2pKlbJhYSKA
MSf5XOqyfgNmbRzKyEjXbZA3b4UxIWwOcppC81/dRF/h0xvuROnl2yYLgEemRqgd9IJ5tNON9Ztj
Q5dyPe+7sgx+DzFtkqxI8HGpkFLONsr64VFdEztubstGNGWEeGLwDvGMrmayaHwhDEY8kMnnoAX3
wVIt2kIyIkSQdjtrj9dKae7rHNmyz/vkQiOlxV0emvfBfGuE9gwWfij2tYXJgVZ9wnTOGh/CtNZW
prTH1TiNxRrtl+Krxq+Gp2vEMqkjcysn/+hMjEBpO9YwZqS5b/L0T1bj52jzsnwl9IPeRtRQbLMm
0k0EojPXtbot8wbsHFwrv7vgySOeIiiF/jq40bEZIKHEdlA9O+aQgkEl2AYFF/Vk/do0mmQnHJCf
BkJuz2omZH+DuoRpOmxs0nlgksK1Q9PcPNRV1p4Go/D/iERlm6ZBSrQBuXXo66p8rWlwEIuH8J5w
m8AaxBUB+COdKfM5CoV6xgaXwjG6i0YVH+qhbW45n8J2xmyvoDuflzM9sl1xivKtM9LqGnkNvxqM
vvwxzdP2Isz6stwzHER7ml7RuXGIRBEBwdv+FN722pBab/AgdvVUZN+9R53N78hA6tLhoxrK8Uxb
lNq3FJA5XbiMct5M3XSWMXX0TLcSViygsMyKg8yLU3WP9mnVIq0gzbru15Fvjw9CTuWhC+m2+QKe
TYFYhBi57GT6zD39LhfvJsVKGFb6CnBQ+O02TCVwgdDXbj/QXdlror3k0feC4tnzKFvYlfuJfW9m
l7vlmQZRi9nas/E+ScIq6nH8BVV5407h9OF5uKnBdeNocAXZPnrRbDVrVE8qqxhBqyn6NQQIz0vH
/qPF1ZCQG9EHO6Zn7rEo1YaBLPxAABlsMzfMjn2rew8tHNJJDm+GF4iXCqYODUQuBGYI01361T/v
Ln+lw0mTVDJVBBxePdkDgzNhF++WaKYdsZVIVua7VT28d7WB4s7s/0LkPl27EENL56W3ETHAyY2B
6wiLCrC0s+RG1TJbYbWmVxqN1E0o7+r2Ly+jfY/EI3yGhezs6JKM+wAi/uNkkLVVx6CSLDH1z/lO
ysD6C0X6d0Ez+S0nn2aNeCe7pYAxAV/nRAIipd5lYxK/91G9RZsYv1jR8KEnQHg4P9wvs3EfKtes
/sAeoTXjI6WfCtj1kR/dNdhqscsyLBcpJVKZQNgag+YIsc1+9qc+2MTMCHaaA84hcDRg5UPX36LU
+EijYDpYU6Mu1uSsDWTuryUjexZbLx0w2Cfw4etcWOoWaUFOpLdrHDiIZheDW2xqHZx/2wCHBxNG
TGinnooKTkUl1CYW0yeu45DcC5N1DRj1x0YjkKNuO20fTGX3xmvekxpNO6kk0AJoFa8qgqZXo6K+
NZIFwzlquW9TAT3LalZJI+x3QYc/yw9DpRs3UTWEVYT6trJ8SLF6uBeUkvaUmaKVtHtrn3e5Pl9f
i9neK2GjUZcRftrc6AqzYOxMOP8JaXJFbjpP9YiDpwHAdEyTOQNFEnuv8KMfqB5NO5HKSwzX7yMM
4jkGXvsODY0eXTywdg1GbT0yIv9qht/W0NOD7UV5EZoFBaTujGsTt6+DZvp3LnTBc9w2n3VtED4Y
lMSuz/VN263lF7iHogx2jZLGc2+Y6clTGXx3Lp5EKjdEOta5eMFn/hWXBuCtAiOqbZNY55vBwTBJ
wG7iGJLxRGHOLSp16HCXYzb0WJ0pN93RFuEipgfjGakMdYXZU0T3q7hYLaBWaWmXGJE2xt+ufCxr
AZ9EFebqn7+gIjWVpPRnO8Mx5HpJ89VE8RY1sraTfZgeyA7kW9HFE1YzcdATAu1Knz6uYTRr0cnh
MZwG7Wqobrfck3bn02CNm0uTKyQgE4Y2mltr6UTidzIVv/HKW1sACC421Gigwup8gbVvoZIwFVuR
J15d1WyCqKrppRkQXhhgJz4IIMzDeDzbvQv40G+0C/z8jHTYZpYS6SdS0P+1qYudo7V/6GTc97GP
sBDS7LqLpuEEEucMjD9+iaBWnDTkc3dgib3bOPuyOStHxN9GAY2qzv4MMtVXcWhNe9pU8VOaHeq6
cY/1aDvHQNeeGhFwFBKSyNXcnK5FnlxyCVy1ITkdiCQkI8JXcVSHlXm3LKabrFUnPzUPfd94TynB
SmkXRfdthuwBo2ZzZYhyCvea9hivyvkTon/SLpXPBIvMl7h/yfSxvVC8cK+NcjLWFZ18rcNwhyuQ
IErfKA80jcv1VIE3JrBJuyhZeUfe7iXR+zcCc9tXE/8weDAS733IdHPn8SsCkby24h4yVDMyQ8to
IPBp0otFLg4Oq8gjFmpUO1nmv6jw3lQaQRQGYARUkzScson1XeuCipa9jQ3QJtLZqppXW6eWHmTh
KptPk67JoUNFFS76UX7rZWbPS/j+AYl9hqGe2GI/NEhcKJqd6ijwJsJ/CQQ+KCgM4S+Y1rtaG/Y2
AthNEcFkdB+EwGhZd1337XJhsVsvJP8pSZEHGdH91M39e8IvdHNqXzQ/JgCpiLjU+VSUJkLaQG32
2zBP4rNsxJPl0GWxI226mTNhp0eETUbS4G9nPDIt/OYr62kCtXX2FzUaumqGk5178teOxKM8Vm5J
+pwVF3sspv0qFwzYky3TkwWq5K4VMFY0PS32jQtj3e9b5GKT1sNHMgext0ILkEKRvkmc0wChiedR
WDop5nrfOhcLGNvZU+kA9HUafW11tneLTKF2pRN2p7GIglNmBPYOXnl9M1t6WXb3kRVVQPM2S0+D
Y+waT3ENi4J3GTg9O+yj+tbWhVE2lygWm1THcXJXESR9b8ayXbEL9J/gh5d8bHZKvARqUugbgocy
TowNu55uKGAZj1kV64+cwDWYAUVn1LJY+FkAzGepeJaH9UaLmoQwEvKfXS/0dyHo0R3XD2RRrVmf
RKXqUxlxlS9qEJcI8HfMOPw7w8OYped4rBL+cqpdEPusla+ajSbLV/3LQIhNlbTiwNwkX+eWSZkv
DsWJaRZXN8iDqorvh1ZWJz0h5js0k6ubpIornBVeqHxh0k31EJNaurMyaB9GhJ9Vz7R7P5iMu4HQ
3ktKNeytTuhR5u2rCrZRGmVX5YK5AlJOuoMM75eHYNQgpwUbaxKDeoV19hxEuvPc6YogWsN766La
foiqt27YgTgvH+MIE6VmV+auG4pmU1rJxiUe8eQQ+BSCYg6Ik+0ESU2BxlQnk5iR4/JT2HR840J+
SkJsHuOS0b7JMvtbB7gjiiB4SkbHXEE8I1cj+kQT6W0raed7FajhTaFLinPcyZgD0wNg9+YpkRyw
tD/2ePIa4nskMDUzE6Cs/PyJb4OiVK3CE0oYXLHfqp2Xu+JzCPDLxoPv7/vJG45RlJzHjnlOUbsO
uTBF/aWQFZNDDpYzccxTGw4Txg++iXhshzeMJ9Dv0VPQYHKGN+YsCCn9+rG1xNosg+SBNUS+7vMa
dH1h13tJAWOuHQSXZRMNgvfNDQJbA3J4LEB9yyahtDuCN++jbHjrM8RQFXExuwi/aBDYHhYcTT/6
YZteGp/LsZWjgDEGBRdUhfox8ckTyLKm/KRSdQ/Z7V2T2p61eMfUiqEgblm+uq2bXvNPc2S4wxqN
JdV256C3wUaQkmrItroUTr+HDZG2z7OaaNR4rAS6SrvjKoX/tdQyKvYWa/Uoe9a8pCCdzLmPA6Tb
igWNl2jjMWrn/JKyLk8mfnJyrXU05L0lDgrRHpBD4zI2LDOL1KmYm2jxDpGt5Jhk3Tb06UNrW+oS
d4TF2ANopbZAZJbRcNYQtTgO2mxVVhnhZquOcOhdknTiaCURs2uXHhVFTO/RbdTKS4PPRjjea1s4
5TFlOoJGtPBfp0Hm21cW+TnuljS/ITDZgLjoz+HO0IvgFoRV8iKxoMIo6S8Vgcc4ixvjVgeWc6jc
/B3iGbFRjTphuKsOYmaaOLlxzIcqpiFTBZtoHEqKFXH0PYxHFe961/Sfq37snwEaswxJftPHUhdN
Bs0DK+CM/p7nrwdfo7yQFQVmn5iIiJ7Gq970xGSQ7Q7vTTmrvHGifVKA+mPwgCs253MtG5tscGzr
wwlnUHaWSR3vmQOhih4GymeFpD3c6/I5VOpGWGz2RXw3CdEmgpQ6eCoFTEYyI4qPvAxo4Djyj6DN
TuIMpGAhmcVLb1flbnzMZGFcKFOBSKTVckGOp459rZ1xzW9yylIfToewtlJhdCoC/01RE97TwaPc
x/KdmvN9VM+pkiIjTMxsH4Tm3oFlpUvPPDTTa/2r1Vz0dho949bQEbfRNT1IcPXIsaHn6C6u+GjU
KP8n0nw1beQCAzbUpz4zKNW7ze9oSl8c4FIgEKOJ5WtTbmlqW1vqerVh+ueGCBuggeWFhMYNRSsJ
9o4i2ViP+0gy0t1R9GD2Bnxma1LVuQ2dHrAmaN7spoCDMD8Uho27IR633MsSv3DFVTONdH/DZZXo
XUBMDHpSgqSTvyxKWqui1d6yahqOQH37+8gKhnuQQcHWwwJI56ZFREQ3OYY9TTymnr6y4rtiVarW
ddRis/N0ciMRXu7pvgsqH+DwYrO6OUgglGsGlx671qOinoGjUXtxWrWdGmltsabFW6EJ5wKz+oTA
uXwkODLc5lqxNjVLUtpKaYqMFCdziqp71wi9Hd5GExRe8UJcIifflN2TrW5uLMtjjHWNFzuKqn0Q
JEwYjAItw1ju6YohRiQxdlP4U3ABL/DPTeTV3jHJpyxjnCq/skyzT8tGww6O/b3sKLlAqESOTRmh
qJ4Q+xsPTotdX48A+JZBOuf0sg5FAAGbdhpc62GMZ5CYgjXLhmTmSiOURXMqe63oqq4N4xT2evJh
kIW6Gon42thQuY+K2coxqUSMihOmsLJBQsBHyvf0oo1NSqzHqh5K8xbVIl3h9lP7TqNsOPZav2ug
NW5qKqkYeHL3mPeEVRpR9dTOuDBK2u7JC8J43cRTtdHsArZn0hTnCMLCUwM9Yh53AyNyd13W189I
Q1jIN8pcaar5ndnITKyRlLyyH8qjTBFr2G6T7VGpH71yVsHkX42fBZexW8SgY3vrI05MX38RXasu
foL0KqmA7WlG8DhOmnMditZ+HhXne4RR7Gdd3YVk9tKRpkaNBk7Vn17VTaRCswaVvoi3y10EImeb
sHhtiUvSizw8moNh3UoxVshLJ7AXsnwXjRL3ff+77432fmoCrAwFaqCWEuyFtSTsOafATkW2OLCP
au2iLpFW6L/F1tBtk17XD2bU3nOi0ck3ySv3W/Sidu07O2M+VAGyzACo6dh3VbPxu7mBHQHUGpbN
cKXqUx0VrdXiLkTOs0dve7QTU79mfYRLvc9fM7OvVgiNxYddTftsEvYDdBzAQsWhKIT92wqCGecS
D4+9U52ZHXj7PtKR24Iff6Ed6F2jWU7uivooa+bWruVZjzjYUWpT00tEeISsHNaxD4wkRgsp5uz0
caDHb+a/oypgyUPCaRr3sAuCsDsYFFSODjAcYZneI7rpeGUkobVf7iL2IhgLa+795BrnoczRrHWQ
3xKAQSeh6RfUzERsDiVEdFKWL4Xe6Ze0hzSWxVwSDRE0T0P7kWlm9Ag9rXkqmCJrgfmR27r+Etl8
FYGW//PW8pjWuWCRM7FzlIZ8EtPVEyHpF8oo3cc0UuIqxw5hk1Gv8qH2APMVDBkGGiTMqC0txGD8
pDD6JPp6eIqqpqeMnmAAsBEst31W32QDICuGQwCEopMvlotYc4QS9M5HojEWxcVXq9yXOggeIk51
ssAm6ou6um8n7Ce0WVi2K9+eVjIc3O/ZJWvGDgrtMEgPqY7miXjK8kA1Dmpkg3baDO2jE6akfuuY
zcKomZ0DRXrAZFsfTd3wj8kWckx/jtMuX7uq9b8UwcxOW9rvXSydbaHs371D5ddoU5QvJgKsKtW1
R0rIJZjyPPlAuPgW0Jw85RNv0bMaP9gzG6fwtOCB8RO5fYKNL0VuRI2SVkFaDeHTstHGAvvN5DlH
s8+q9eSAN+ghv56XTdTS4KhC8bVUcEN0loYWBGtA/H9MhkhCH+4Vo9c+0YYWYNgw0k/v3I1PWhoH
h7Yp6LQhrzZwQWJkRM1uZDuUWDPkOqOp26mOfhact9awKGwrR+30WKP+ZGmSpAXh7iVl31VS08ar
oAk+ZnQm9+43HjTvQVHgWjWpm+1oBzQbhjSxKiQFZUOc5FweriwoDYv18H+JC89jCTjh63cW5Wtm
hXX0S/07O8E0IBr8m0vzvyEXLkWuvvKv/89r/gVc0K1/6BQnsf0bBobjfwcuGPY/dGkYji4sD1un
zv/0L+CC9w9E0XOAiu1KyTQfK2gDSCr8v//Hsv4BlVh6DhgGKW3b+p8BF8hW+Q/Lo7R1TLz8EyAG
3f8WhlJOBXIgH4cnVMEHhhdxxxor3+dMi+4y7EkTGrFtnIpT1nIRpJb06TZoucVg09Cl5yKRgrR6
jrB7CuJ1m/+F6QsWqZIfpqseCZmMV05H7XXsiJlF6b9ylEcPpXJeG1k8ZL28eWSS3aG8cfVn2jvf
05RuCieeNkYUkkhXiw9seL9yM0c/l6lbmoz6AwCYNRIRQr5pZaR+y1wVnYqRkjTZqRkfTX1TJP+P
vfPYkhvJ0vSrzOk9aqDFojfucLgIzUiSQW5wKJLQWuPp5zNzJhEZw6rq7nVvcMygpcHs3l88Nuv6
QbGKj8YC/b/6EU3VAW3HYysicmQHyeC2GRH9HBXwKISOwWZQBmyIAsQx8px2NXGW77MAdnP39i4m
SqeVOBoUbTT0vQXVwC/zqmZPBa7Rg0ckv1vb9BZHjBthZH0aiKzuSHLByMILjiA9JLzBvUFjtAo8
C67b6CPFoMJaqo4VUtL7BCXBwuwyZK8rgEI1OvZWZl/UmIR67CFeZEKZsFyuHOXy4Rat5zqy7ADo
WnKIAIH4w5QddKtC7kJfHmNMOFHvfmgw9NJJs/i9iZBfYnjPSpKUoD/Ux34kwTAo0KvXjF+3XT93
vAMH/Btowc2c8VSHJ4aef9EGZJsE8TtIPAswdc2fIHShLaXdJ1JIOuJqRgWvTr3oXjWhtcjPyQUB
JMQMCoR5AjRLhyOSud+RkCJUMDufIUW+s1cTCe4UP47SxEnHHXUcWtY1JvS2PDRT3KJQkf9IM3jx
uOaZ5BPPcY9ixzKyj5Wkq1ML4xUSSehy61+iSuhtQTyHWDae8ywml59X4Sm3GvFgZ3RfmxEa2OTT
byHsXqqAgyCuHxOnCPhS7orV+6pF6XC0M+dzuaJCS/zCwryyB/2PpVcEDdSgy9ybKd3j8qCo6BA3
GiEcu17tYDZuDfRkFXjk9LxTBOLzBkkqXF/5acEoGYDg5usB9CPABWxeZ+hsPh6pPQHN6IY8cVd9
y5S+uKQl1FI7rtB0Nyzi7cKVOon1Jw+kgB+3Y/kujvEC8Ij+NR1qPok1cT6xr6TwsYZOw0xvJoiS
vANLDhElPTTmN6s5ljEAe7V9cATAK9Jqd4cUUFzwfWMNSIAOa1vMd2OE/86LW3300PjbkRPyi8QK
9y0Zdx+8yJeiRfyVBoy/sKbs20UPGNvt6I4TslisP51yJmpesu90ykjKMwqZk4lXnXEACFVQTwJH
FGgW9G6vFhxKQisVMaASU2ngXETOXxrQbWeH0e9jOwFIGYjxtyPDd7Nw8VZENCPEhuSwlsXgDzmd
SchJ9QwlWG1axNVd9XNCr7NC6RPkbkALvAeB9J07XiKaoGs32fTYY0cP2o1n2zt4FSIXgsTumZEM
Y8+TEdr6Dn9hHXuHCZV8PYBWDLloSEgi2h15PNWokHkqII2N1XRO9fil9uJ7tYL4CfJmxDyRVw4T
YYKpsHJ8t1x9T1CjcCI9LGgVBqpZzsfaI74+hBjCKmA/qvwlqjTesHI2jphqPjTgKBQREO6WM2A/
FOLMvabSDdRN5YtrFO/w/CV4mjyUII0fCOVlCOd3vY8p1VM6LHfxexxf8JBYfC3FVXpmRElY4NhM
XRWoNkMfsAvgdobw1JrLfiJrRxdqsPL2IU71DOASMVSAxkCgStyfQb2sE8Z7lSX0AoGiTdh8H3Fw
v9lmyTU6hkEA067bXJeJDV/VsR1qkZPC8zF1wZeQr8FoUJS0yXhcFfu7kYVHYq3aUc+BnCIiyiBM
mFrLqpxkrY1BMynRflwnSM/Eno4opD5oJuHEPqsAkc3EIAZ3ih66tTvbeoZkczh5+yY2b1caah9Q
ko7xtqPco8+4U1cQoQnQiL0n0Hpur0O3lEU56eo226/cBqhiACXlpJy04tIJjPM2T+shBpbxVO+V
eXWeNH6jkxN1fixawnRt3yEYfKnBqQaRvv6BE+/OyEjHrNZ6irskPy3m8KBKEQsxqa1Iv5hRfEae
0EYbSMsuyKPxXmWX2LIf7Sj62IfFU4cCNIPZGR/OCGYLQG/DUad819ZRcWoz/dAjAI4Dn9YEbR89
zzbw172c10FuuuTtAmyofw87OLpgyupmHVnoIkF9u4yCeXa/QKTlczaam3yyflTLYh0U106PqUMm
VMAgNzdM1bkvy5qEsKGU1UmnfHH0b95ohydnqYLIBoVDFMp6a9s4FB0nLB0ctZ7msY2qHjDj4pyU
FlWyHi8vB9l1LBkKB/gZY1k7UnhCm+mlkWXZxQQ5ND+bajECnb7EtoO8hR0DLNMAE2f2eObj/KwS
TAyK3j4nU1MEaq6dinIEcTKRXC4wE+I9IQVxfQMMFfhlb44JeDXkcnsBQdsmb+bp0dDiUIP0dDH1
BTIAAh1WYC0B05jxpbxLbVLX0PObP+W92SarI2R1xf16NUmF1ImlvhvJql3kZO2Xzl8SdOzStYKv
bTaIf6ctCiTmZM81WTpkiQQeTfotyokRJtbB0fSXMptz+TqsAkkambjtNKr+A/8QqKHAgNQyJCC6
JPHXmHSYMsfust/w+RJYv1WRHy+Lk4Tcz87crlewf9HYNhEhCcd3lqz6uYbcrCU6aI5djK8SYa1t
T2M5Fj4hNPTkxKe1of1fofqvxxGL5XbXw8iZQzG8d6eG91Qs3SZyN9f1tkNti+W8KsTRZ1FcYBOp
8/nNwn9alQve7PN6qq9O6zpD3rNXl/GqKPcSusNKD2TO5luAU9X1dm67frX6b6/k98t/u+rvTtop
TMjJQC3NnI55YyDBMKPcd4Pk6xwFACTAY67tSS4Ise4BXSHWKaIENd5KFGXdKt7zkfDJx9az0+VN
EK3ggAkw4GD1+2JX08VTGgRrSg3ALmmMyTfmHmAlKVIQvnoO3VtuKutyosXleMKl0J+1UWtPNTQ/
ssKgvs3mppzERZgr9kqdrvoqv9GDOY5QIYhUBrYgRyxQCyB+8CPyo6TGPRqTDQHIrkQbvuGzZ/Jq
uOH9Ha+tJH9Dbm+bVBM63mNPt6gaS1DbTNoxEn4dlITxARlv+gFeMRcXuZOqqDw8PcT+YEOGQkSB
w5NZYK4svpo7ucYLaSTzYHdYjS2AqEjiNZ9sjcglMhjCokPJz/1YpxArXE85zBmWA2P8JdJtxkHi
tyQnvSildIZ3VgjiHVvuryVYcC81aPuAK2Rmre86b0DVklGYNuuXHqHZ2q3BaVbRIRT3wui/ow6B
pLHYl+QMyFLY+T3A6rOdYEc0eY9NEYLwFJcUZvYzykwZ2HvRIMh58jbQ9jpnttvOTxd/zHGpSMP9
uot14Qi2u2uUl8ItwGZbxHVAq1cXekovZH+MQ73i435dxRQPmAjxSz1jPKe2ebci6k0bqCooVS8u
HoSh8W5u0yNdAsJYINiKNJ9P87LymIYGzd0EnX9QAEh7yLMETQuQMjMAH3AK8rxCO5lRTHhYjbKn
92Y8XVf89WhltRyGbyluMru5gpOxgGlZ9/Iog4Qui+PhMMelyXq2Qg3GJ+UEgWMBad9NuKMV4HAW
qy+nuwFNsVOOIP7FFX2fKSHEyrvwo46J3G9PQrI3tqosJa7xZw6q21w8lEhinMfNxjH2qYpcGKOs
sMHtC1lwbpl8MvJLiNTR2FsML8KKEKm4LrlMThbRtm5VufT6QouH/buqXFmu8q931ZfQCKb+Tn5y
8l2TJyOrRSWsKbe6LF1nrqjsgwQl/SR3HymDjeeDdV1ZHpaxJl+yLCL1zKd2LcrvW54cPb+/PsBM
Hmg75ahGKHemn4hX9x+m+O9LTkSshPgqys+EsAlWVeSvPqPIWR+9eMxOVRdjVyhXvxZDcddQbcVt
j+6TaBjkmypL22Sbt6wFElmkdWot2b9pg+S1483AL18WPdk/lcXr2dfr/GAhl1HhCzhS7qplDezZ
K+gcI4p8ts2vrjwRk/grCm9nebNhcZQXWdru/TbPqQZG5hFua9vK8pBbddtWlrbHuC3Y9vdm26TE
6lDpaMO4NbLhHJy4BVAg6vLL445nPa4d1K8nv9YagRRlUnGEpBGVz/TVe7l+iVARO8vXNdFVnEll
MR4GujLyTfl9Ue7i2lTN1dKd3Dr3JYw//YXv31D9ct5WlS3N79D//3o9uRmq+5PWlmd5fHl+o3xB
t28mlOzJ68ss53p6Oayomv/13cnSdS1ZfFt/tddXa709wNutcIpNSMf9oa1qupcNvvyNyJLc9nfz
tlXkUl32AmVxm8jnsVVlSW73T/daS07atolc8c2hfjfvzV7fHAmUCVIp6qEd4oExuujaE0kwxmY9
biQuWULDu8Y+V/xP3izZ5pFL5ROX9aY3KF7XlM2t3Pm26qslshiaMLE0mFzXNxoko/ezzZNf0Kv6
tfh2rqzLj0F+Zz8/MTRo5gT6cLZqhPToHDffENiwddV8zNfMZvDUB1YJk7hvCL550/tsLo292g0q
DgECFj7XzhNxYVAd69C8B6V1NhsDxRDNXj6VZnmyG0N5r2uh9zjqVePr4ficpbAMqnYGDYNz3Bnh
slm1rXcYvaFVaIQE9TC3ul0XgvFOBD6+MIvb1UkINxInwRWiI6k3Fs2R/N9OG2d8gmQb9/aCr83J
WgJ6E4OqtQBPWkzctFH8XuWPdZugAPbX3/bVL1cWf7f6m3ny1y3nXY/wu+2uR5gyD3suGBg4h8ku
nZi48tvd6p7o982EzgmLye9X1HFS/Gvmb5e/2dy2hDib7dQ7pReNmty8cJ0yfZBrAknsAn1unuSC
RX6Cvy8m2D3vLSTUNdBje60CJdst6LVMqDQogCH26RR/c8rbQal50NWHKTUddBpfsiI3A/J5JwJ2
zmVSycwzjrqMbm9+gGfyqLX2rTt790Y5IuYArsxVjIPeFdYna7DehbP6rdZDay+a5wPk2vw0QXra
d2TAUQpCO3PFcRAdEbRCFAy4/KbDELCxYF4XaU9ckzjjsVeGm/azHcVWoGMvBNjA7TkE3BQ1OoUT
0jD5gpxQsva9P8XVCrCuOyGCoe41K7vR+M/CHOFKgNSiGIj8l6KEH+xh+ISft4LzeaHDCNb9mTgb
UT6ssvE6Ixfnigh8CMTHczBzR0DOIFKwCNg/UQo4QIQMiyoI0XMCupwf0HzmBg/Gzoym9Rh1XQoI
HYfk0qy+K5r3YCro1K1jf7Rr5QcmcstB5IsPNb4UCeJouW1CyyMw19SV8zjG6ZcY+/CTQwqXCAG2
muHHwW6e3CL1wTPhG21zV8cc8a2vhlf298OC57bXqKhwWIHThvYhL8rvi1ufLQXr2Sqe54BBMmSe
rHxsKtV7YNz3zfFwQyK16J6cqkINjvg1+gkmHmKkXR3QH12JypNJeG21U7QISyRK3LwjcpMfGLYR
OUeJqQEEf8pb86Kkox0UMwpqU5XR/SSJAMWwCLQaIRckrMrRxfwxImyhma1v9EQ8ldJ4nmBA31hL
Y+KZW/pt07331tDw8ZTzDqbrPadzv+wztUuewJK+xHF6zIpZ+aNCLnhHwv4PpSrxA9TxNKSBSgEs
hXclGo0B+E4C2tiRLHGiAr2x1kM5atZ+mMyj6zXYxFqVX6+Z7tezSX4coNato3XT0VbKT4N7D5AK
8Hbeg0rIFALlmvO+wLCc0SejSjPXgrIbTzOiE1zuTNC5JMw0wCwrtPGrPeUu3KMK5WjFvm0MPH2d
OtuL1j82RKtHvAl7i31eIiOx5PheDdExNrXh3E99vTPOZBeVg1Inn8w5moOMAGsztKfiweyjiXEu
uQpPaz+tBvAVDxJ/rtlwSkjzdOV3ydBZDPVrWs/lcztm6aXEJM+3K3gAeqIh1kOsnHzL3mynG29N
3Ocp126dibYzNOugmqLbuS2702TxX0G+cDeAvTsuw5+Rk5SP2ZR9d8FxJZ1bH9K2IjnX2/cLzEYd
/oc+qF9Xu9TvaCkyIgjDBInAxPB3GRDio/lvm+YlF3xxgEnOXmmB93Xp2Vp42bIh/rL2dr3zjPzi
VXl6aEPzpQp0TKv3md19tidSCenyEk0OZtK9DnJf/4x2KbbWaGnuvPGgdu+W+lvZWPFTqhZQV+sS
xb2uFVRfZQ8KFhswt+33mj19Qtqal4QY8ZIkOAApzjdUeuxgVODvALUmlGigeQeoeW8Av10is/C1
Tq8AWM0oHwJr9zpaDPyAcZ5UMfsVucS8Lpp9XXvf0fH6UczTsQ6XFX5A+eQ02Q3h2PngOGf8IIDo
5B+9hL/huHNLofqntMqzCxcXBvAJ3qRw/LGOppE96W6OGVdyz+/PBlG4sxvnjAGadlia50pt9W+o
PdZj9XEqUcszXQguE6SeLudGKlp+M6Ujso8czo+WD7o1fkRoCOvJZYHNSONPB/OxQE5oAr96wAyj
Qi+jiE+u2duYIPLVgqU1OGnrw2hV6qUJP64r6aPcORhF98Gkv4PiEHbA4arfuK2SEQTBlyZMDlUb
poE79B1iSfUNjiUEyVWFmwB00R2Sk9nWM+roSohaZMcfYuG/hDf4Kswil1v6M7tmbH+YlWmfmhFQ
ZYxuW1iD4EK6kBG8SZx2Lc992yJ0OQ3luTEZEdo6mvB4fuChVGEJnOvLdOx5qEszTXdh3eNFT5I5
qEnaJF7dCq/GeJfiNShafr5ABPDZKBqCtkIpEVUekrIzGFvX+1QDpgYzSiooUqMfStR/Q8UAUTnj
aZwg3xkV+lhmqwezmWX7eC54fnF0Z6xg0VEi2JVLlt2gdHcxli9NVyv3uY7QQB3nd5OiDBCQ0/FM
Ug7g9Gjv59Q85g2NJU3DzinGcD+OmEdh4HTjRo61G4j3f6R9vMHTC3dDlRe1hDg6GDRWuqbUB8PJ
3hFd9vuiSo4qd8zPDC89Gln8OQUymLqVtssQc2OXFTjLSL/TlfFx7dMbr6V5G0L7KyPmY9cQrPWS
O5LisDhSG1Jnxt9ICaM73dbr/dC496GqJHD1sYMaRo1sFfaMVmLFxzoH/GdW68koS+/motXkgsFW
zTeq8h4zHhSWCdPvPOy39kbyEYCte8i/4EIzH5R1QNs4pWOdRMMpWT6Mql0j4fLU5Fly0S37aV6M
I4m5LAYfSvBIcMYWzMn5xBskV7tFZG/m4TPZbT5QjGNxyCoUBBY1qCja+2yJ+6coRAFJr/SjG0/n
IecOlTQurTenNxrQG+iNh7a+nWZAzJhyT+fWxJ4RY3GYUwm9gXE3gRD2Q286pepyycgo5yXqKZH1
uNjJSDMOkZI/1EUvvH4/5fTHR/h2JVzBfd0X8yFEKsMf1+R50BdkSwub3nQDd2spPYFA6qIDylN0
0prmfag9Omt+n03IxjqfDW/NkAEbCW3pzcGAKXVQ7VkEfiyLXFSK53qyiNdWEUnLAUK9joVUdmMq
L8uUIT9oTHz1udLux6T7tELfblpj/QMv3cekw1eqRNkG7iwIVP5dx1LHZW1yrU8LSI25qFHZysFq
zkq3M+YiPyXj9MHt4pPmlM25RxBsbzsZomfGOXQalKTceDh7SBRZsAKOahILEYDHGN/pnn4TFsS+
AUP4XWoERIbzWIHGEqn3jhLO9+HUBB7MnoMOSXvXLl+ItIU7rLm+1+V6OxtOeCBfy51ItCA+Vw7M
d4xnH9YCu3HjGZSEu+sSS/Fhr6G5ZWP/lbV0MOv1wl+JTPDQ8Akmyy4supcR9IUfWfUn1xrPnpCL
V9EL8rz4BwzLTyBNVMSSx+i2Lft3qFh4QWyN1mmO3K/YAP1hFWhgAYhRdz1KA0GXz3STNOs5dj4W
jH9IR7sV6sO1fcCl8Law7hzkmkC3H5OBcPCi3MDcmW4nkataFDvoKvotUU9XjNYU1lT8Lhm7GwfU
6NkJI7L2cQ+ynUa5gdPrL5pD1nca90iPZnnxqBtGCh1s+OAu7g8EdgHbF9iReyMqvfFyNwIDyNoG
pz63X44o303xCnwhGzAiVh5h8jbQ7vkXu3p71sHnEWMb8Cid7bMOT/6WwQVjBky1rfAy86hOuVuZ
gfJSTjod9cpDQAK/vLLApxaBnOeE1sFxz7To74vV9QFvLzdq+5jNqhfkxfRtHcwfYRki8gsEKEmB
DxXmXZ8D5IXweUoVQTpJK98eQC1WlrecpzC8VzvwiFFzdkSuMCHfuSbDdCzTpvXVWAEsmajJoTBE
C0TjZ3TTI+5XF2jmOFqhw7p2S+9zI3nvvYlOeKYeQfaBDO3V05wW5lOx+oBeSITGJ08R2nntPWbi
APzLBShJ3CqwcLWgrcsA0cD6vmcArblqeZ8lc2BCldQ7AJ/p4n4uCtyqEYrp97XtNrz97vvYbvyF
HsAcwttxYB1q5tEce7QBDKgKcdihaGhPt3m5HiLSkn5q6x+WRvvuoIzp11bKYAE/+qC2jGKfF+mR
YcNLU6H1PIA5yFW72ysZVvTuxO9TWxuM2tvjPIAk8JzDzPlfBHcN7LRzKdPHQTVED92O925ZfMGy
ETkdAkCW12Ro6oCyGDRrvCEOb+/G6JwPvIWT3q/3Xl6Ad3W/QTWfXlAm+Ni0ebtDU/E7qoI2YGK0
sOnunmaD9ys37yVJIG+djx3IHhKk2qHHPOGylroflwYs4b6bkLoAlxQ20Ukrsezr0ZJDJs/yCwSE
5xWwEzqW73HsQbcAdkBYLQXaaETRS239aMdtc1DnPIhdnqVtpbw5VedH7YJi/IwpuE1/oF1wAncB
poFBxhci9kfFuJ+MaYKnltdHALfjrhQ8bfz5Jj3XjpHjLSd7TXfIOGEiaw8Qr006Ovo8A0K3VNd3
2lQ5jNGTzv8mUJyJPEzOLzcD86VZO9g4MWAVbbeixx1UVohkUQS4dm46dxd14MAHlNUOE9FOrHrT
SzstuIzVqK73dYLZGsHn3L1Fpj/eJaikfiwYLqURqfwKVNrealtsTIGwrUC0Aez2xclI4Na3pMUg
uCY75CBGv4hAj9EPfkCexp7xDoHBj0FNd7GcxQriIg8ZJi6h364TIlsxToG2ySh5dLtjkdBqFhDU
ly59KmwA0LE3n/moq0MaotqT9s5Die9c4M4G8le2UAZox6cUgzcL42JMbU0yJy3oNBUXb5/ROR8c
byCofVr/qMTdOvYM1IKW/IOaGjTz/LSm2MYJxoEE3rmo8rTVu3nqPrjJu9jsP6R9Ve6HKKsAZgfY
FdlnnkYryGZhule8iIeHMY+foU0AtQCd6x4/PaNCsMuNvQ9x3cUH8t5Pmh7ZRxBl5dExkcDWcKEc
WpjeCGprD5peAKcDWYs4gq4jxHhYnPgHzOMRpf3FO+LA82cy2V/J3x/FKZ5Te/hsEeXCuC9/384T
0bClP1l9dPTw+IWlXLb+NLzglxiMDj7fXhBZqBxkTW/d/EDKJruEYcQVOO47nSEI5PAUT/eooHcE
q9ZaeaS1NQaMK3Bn7+L7oUJSFB/s1CcwDAavHfgNDO9XfXiBtKnfV9y9h35t79U5ERmByiEKUgId
HvIy8FrjOXVFDtZ2Il/rRQxieUDPqg06zVB9uLT1rsTC8oBqeX7jogz5v9ji/4qbm2MbOBP939d2
cX93c0MDt/3yvXqNLb5u8wtajC2baaDyYgn4ru5iZjL92fX/+R8KWOJ/qBAJHKRb0RTyVI70F7RY
w8sN2jFbAjAmzfPKy83+B7YnOq27Y6ENwk7+O15unMYbZLHruK6Dk4qDOoMFGUP42bwyU1ELiLjk
y5QbpKAQVY3IXk6gAy7Wr9J1Xj0D/qMZRzgQCBpludb/t2wOceSAitu8Xi72J1eXk0oDdqa70RRE
JKORXoBzCKroKR6dHigsMf5MhoO7rsPOO8I0Uc7EP6u8yAk+yUQ8riu1pUjeytlyrVxsv636anfb
OttiWZrRVtu1w/QJczI0JX8d5s1RJ6lOuS2WpTfrXM+sUxx1V3hzgiwe5yzXKbXuowoj86Dk/bl2
WlohWpgL/kjtRTVtxIRQ+uiJ24m5cuLY3d/qmUD0ySVrrDLQsLBvE1vLWflIIFv7Q5a3FWVVTrY1
r6uLDV8d4HeL38yLysoNusy+i1GCHGy1Pm97kiXDc+4QwLMDKXA5GxkRAVmUk1Qk/7cqZrgsNhHp
uc4cDJUgq9c510e5PUV5895US/n8XZB5PgIMNT8NgXNuhfM2euYN/tZuvKtmJzkgucabKl/Sqqjj
fauRwpArynmydN1OvtK6pRiB1mv38j1d5Dy5uIAY1xgxwgPiIPmEW8qQEGd5ta0s6pP5aA/OFMja
9eMQZySr152KqhHvZk25l6J2GMTbfEwCOSYnyaSNDGu/lKBvL0vUgs4pOtA2mZhIwT5ZNYU0GmIW
FREV1DIRDYgJiohij/hSFTVohcRFCfCjhJEv4BFyMggojsrT97WQUI7j4igjFoJE+LmGCqZTL1v1
KHEcYY3cHcO4FJSiwHXIutFWSAXY5SddID7lxJawT1E1JBRUTOSCfF0+rkvtHiQ4wgWZjVyWCYJK
SL2iksfUTeIRgVDnJHN/EhgROT2QgldFI3maCTWS+pgb/5pJlym0K8xAprOnZiYQU4C29CwY7+qd
vLByw59cU9N0jaY9it8YueiOXoDHjfZOmtqnFBSGethO39FSx9cbcKoSmVSLy5cpblmVE4kJkCVM
Oe4YTbuB5SX1pXdqRmL6aiJdhK2wUGOlT7VC3ZB3If0FFpFHUwdlOc2ms0+1dgZBhPFfijUBaiRL
c5gnJyl25jBPlyhpKGJAgk9GhllKnunOxV0bB6R2rewWeJHr/npeV/BRyhtaEeNjYMBJaeKZmEQP
hrDTT3KWfEJyviyFeGWDM8jDlUaeIemHugNYeq1KgMuSViDJBfAEzTjEasLoLEUigW1/8EDLB5O5
ol1WjUcpIymXyZIJWgKigrCUQdxQUdFKlCXylwCWpSZiEyvdQTOG7y6qs+AwYofvJFMaXjxRlPVy
TZ81N6sDa0TTVxmNMt/JYoiBxkWWoH8mvEzRrcz8awKoifQtPuYy9Y9KB+qNqMbuiEizrRe9SLnO
RSAtZWmruqtXHzBL/yFnDUP0ySXbeYgBW9CkKCj0kSIJAyNa7xg39Rc5K456/ZjYQAQz92Nt5rT3
vy7WhVTLxf6qzyq5PH1Wan+7wutlGjHMFYknq3tNP0NIjzIucLtKWZXXW5t1cwFEF8xuGx4Relr2
qoTBiiuXl8vAiNeQZBJTOaNqamI9k36SyIcBQD55ghRGyva+yrdDeGFjXrYI0V7xw79+weJD94Tr
lMB9b7NMs7iHBUemr1VogUmUv5pEK/kux0rWvXwqldtM4BbHR5lZlzl3mX1/lXOXdQviHZzbMT28
zQ+rLtqvStPQv066BA1fw/Nrva99R7zzthDwLBzGG2mBBgsD/vki54Xl8tmpMBzXhWClnOAduu76
StXIQBamb6zwHQYBw55xUbrIkuOiMbors3Y+t84z5kj4Z5Qu7uPNilZxUcy8DkL41ROTcUbKwlPn
4hCpGv9vKeQpX/Br3Wz6cF96SJDFkQYdpeVTk4+/FQ9STlaSf8TQF0wO9cYjIL462rrXBfCYiCyt
i6IWRFVShPCq5K2q5QZz6VtbO2CjNRxcjcCn4HHLSRRpHxGeBSEvQEWqwA3KiSPS3Ns8Wa0kzEEW
5Tpy8VaV84w0inHasG9kzeSHDbJY7PpalHNf7edaJA8lFCkZpy+jErRdc6sL+ecZINxFhxJwVrun
SrdHf0Ahxze1zGDYH0VwKFG2nMoigyrFe5aLrmQvu0xaSathiplwVyjK5TQqD3j2pDs1b+1dKWCR
MsveSlC6LMqZclKLxbKkIO1GB1OAAbdtZHV8IgSZXHciF8m5ckeLLf5Zmb6OwFvtmq6JqCdiJ9ue
4pD4uZ5YJNDpoOB6IxaD1Kc/K4swzfkZi5mpKMlqJmETW/23ixHV4zhyTbkRgrx/26fcfDvEdfGb
o6XbNpaXVsd+qK9nILd7dZbXFa/7cBoEyKPQ1UlV8YOpyKLwmxbC4bIe6uboRyHpDTlPTgYpK/5r
srr8neTKsrRtK6vD2sSX3CJhzFomUELiHaKowiWEYiv2opjidyuL17nbfrZDAccFrJzn6HH9Op7c
5Hcrv9rjtvjNKcqNX+1f7FXOmxNaCje5sio08dnKiWQO/K6KDYW35wdv7eRSXfzbGtHb2CamhVNQ
aC3f5SwVQ1NIGKJrtq3ypioX/NN5mDKh2T1kRHbEgQzZX3izr+tRfrt8wAd539gNiftfdIjt3GUJ
Xx8aKVnc1pGX1hrpX0tkfVvH0iLrPBL7rCfjNIGV2CgW8uZNKP2ve4wiikABuEyKuNuNRDd9tIPp
RxbjeBdHhRMQoqsulhhwOBJKKevb5DqzBdO+I8+j82MSwM9tuSG2vO5S7kTW5eLrTFlXF0RJtXIl
xeIouxgXHky6VGjjE6odPbiWnapYUGPaBBfINoUTZ5GsOTS14+wh3ZDGEEg1PFXX6VmbO99Zmu40
mtiiDVpL0kJ21kS3bZB9yVX2tGMcnPauSJwucGMO4eCZF29VMW4RpbgpUPIUJTMZnSNDfeymkZHu
RP/Jk72qFPb/3kO7dL/kRNv3yg1xM8DbsseHDjFo+zKny5WI/3ckJnIm/gLk4HVCkpWjvdNjDLeA
8KApmsTuBZXBhbCcixKMmAwYJpwTwqVINPaXVIxaZKkYu3Oa0mdo1VLFEoHJ5ITrpWsN7QAj9Ks5
qD/JMxuNRs6z6SH4hoY09uR2CSpQCOBVnaHwo4CfAEzD2mtN+rK2rnso5O/YFX9iOelW8kJV9RHt
Ly5L3glL4PTljZElOZELcrTE9/0YlngUo9d/neh5fOpWNwhl2ygpRanEg0+ifb4W5Vy1TO4XM/WC
ZYrHi4fJNEy8hOslmn16u/JGSJJL5A4sgXnhYVQt6unbBPGt11W5QM5LGjC2ijeTOyybEQlXxM7t
1ARfgun7Xs7bFsjSLG6VB4MZwAajUPl8ZWmbjOIdkM9czpPVXhNBn61+La3DU7ziTpRdRwtih3KB
3Fhul0TOfQ81PpC0O8kAo2/4k4Unq4r8RcZysCcJeo0EkW6rxklpQlNcvP2rlXIjOUIcxdSEoaq3
ov8IRWAYL6gcceN1x6VzpEFazLBK8xlgxHjCOhWiQvVwKyfICMFvH8BOqTNgs0hIt8vJld1mmq4/
qkN9bcAblEN+NmSyOUK3aT7UqCORuXGXS240PiJN08UQQzRMAKbLVh1WMyYJ+2uxLMl15NqyWodq
fvrfYO1/JVirQSjR/1W0NiBYm3z/mxDEz21+Rmtd9R+qobnwgi3NsnVipT9jta7zDxtOuCVCr4Rc
DYdFP2O1BrFalQAv0ulEc9GBQCHipwyEbv7DQlbCg8psO7ZuE3z9K5L8ePVq797U/085FHgrln33
n/+hm38P1ZqeTYQWBXPivhRVjWt9HaqNplld3boaThYChn6DkPCDklbpTVc3D/2MsKKNzfsxITOK
MI+q7QcdV88Kd460fjThcjHiQbGqz0g71UipOlZb3lpoKTWI6+68oQTir413nYWvCY10I+gSrv/q
fv+8ptfXINzPX7nSW6puol9BHJweNDdYfxNtbhrUXKA9IKXCo9p3QxJkSqGD2RDsZZyLsGjRd4Pn
fHcq7En+9bE19XcH91yLkDvfsGq/OTgdD0wIC6s/kkYP3LFCUwIL2XaJD7muTbshjB5qQJ67DOH6
0EiG/f/g+Dw2XP0c3jFTZBZeP79Vm7N6Mc3+WLjdo2FOma9NjIO60t4VTkRkJTs3yeTjv9ARLgOt
8m+O/+b9kTff4OpNXm+C/UKv5PXxZ7TSstzi5hNDQjCtHd9FLYK8xgIDGysrd2cYfeRj8PStHd18
j/KpuSuAXKoHmOvARjDb/Te35PdnZKCkz8eledabO9LPcRgadd8fFdBiOy2d40Opmc3tv7nwNzkO
LhyhZ42W3zUhqLrOm8N06JN3YxMOx3nVUDFwKwCKs022OpyAJ/bRRY3K8H7tKnjmo3Ya0C17dFog
Mcgr6re1gZtVPv8/ws5ruW1ki6JfhCqEboRXZopBlBWtF5QsWUAj5/T1d4HzMHdkl/0wLIryiCQI
Nvqcs/fatn2IlHC3f35t8zH/7xdCmgbrg2kZJqekmI/Q/41fZNmZVmhA1azLD7QNFmTI8F1Y3oKa
8EEJ8A22HxV/ORN+PezSNE3PlMI1hMGq9d8n9UNSxF0rb7cRLdcldK5kWeg4zf781n531E2oXJ7r
6GRbWPPv/++t6W5tRkYc89aCme+FxhwanV0vEsso/3Ie/e4o/v9TffmAbaHT8JZJu8UW7TH3p+Rs
o48iilHkOqJejFa4glNz+vMbtL5Qea7nFfMzW1qujcLm64I8hrHt9j1faNPRSZ4CNbLzUv3QzJyS
qTCBKHowGuA0F0X/0JBYhvKz27E0gEPTnBidFnSRPtK2Wm+buzhx0DK15qYDuLZyWzKPIYoRJM7o
vyNhbu1r6rMi9Xqr+ebJH4cO6njwWRtAdcb4Urn5uAxiGS0MwPZHiDtBc2e02qsopdr95Z3PB/TL
aTtjknSDxr5j/nLaupDrzLzhi5uYTbwxBnVHboJFT4t3pYXdXaNXCJU7be103kOdCEaHYrz0Wees
hgHyi53dk6ZYUiRBCZllW4WbYy6mh43vF3FIx8lidqSS19WEZl7mZ9eZdgWaz5LsEWMyraM0BT66
+l2lGWYAt9d3/stoo943o/aomdHzn9+yYfx67ZKWzrVrXqwk/335qkZeYseTTJptXjrpuiUEqy+j
nxjRcnoPjxMEvOVEjOLs9Rh2pDBYC01+jrC89UZtCsiJxyD/gDKtAYr5btIkXlWF8T30J2OtLFD2
njQ2ditz2L32JrAS58GD+eEhB9fc8DEdsDX0ztxBLgkANFnNmi6FLODrs8aNWFGvpnWp8TsRpXeQ
zsDQFI9NezRiHA3MEsiRd05moxv7TC7FcIimwFta0DUWABZu+ra7A4jz6HaHeCDuKk9bsnvEva7L
R1cm91Uk5c6zNXrHWbtuOtcnnQ2EPoDzSmjOZnIKa5WbyHIIdHlSy8o1ioXbDJvJDR6tCLa5091W
SJsT1UULd+zfxwIhqlZkBKIFZcqxw9kbMxi+OPTOUH12RfsgdIkIUwO62qtDXIt0MxSPpUJKQTyq
tci75EboJWgFwg0Xo6wAOXXaNyMnCD733sNKvudOdZHiwc5ruUhL+WrOgvtJvDgpPVjKp31q2LOM
w7IXjcsfqbr20Q7gCkayUlumhkhRDEImsgqqVTj+5az6deFypWTXylLM9s5xvmzphjqQrez5HoEW
3hTpsHW7WFsaanjwh8pdEXqw9JMs+8v6/9tnlVx1JTzv+ULw35XZqzg7EKNy2dWfaqu/a/Pks63s
8zBpj1CFnmPPfvnLt+fXvRd5HFwJDM/wPLRIXy45dUBYiJa07L1QzdFMT1nbIpClTb2u3qTTTYR1
H/QGuWAhp8ufn/zXLy5zCGTNuu15ugWY7b9vN2hlF/Vdztt18pcCpXc0gvwUU6xtisa80Zudo31o
cGD/cpgNVBpfVkmeGDAc+1wLctvXTzdFWJE2PcdZtM7Z4xuG9D4lfy8Yh32cqbeUmmEpu2ZW0E7n
msUT2FXyZndPGGaMv72aX6/6vBqw8q4pHcNhS/TfwxCDtDds0qu2A8E5K8hQOLOLeI2+FyG+O/LN
hKxyrh29WwQivyV4ZMXgHVp+2D/kMGa2hCCs/vzJmL/7aNgPG8B5pWUY4stpUZY5hNfOqbcm0pll
Ao61mDsGjCeeimD8JCkVrHaZw4G3TWJN/OQ5tfJvo0O2bE2oSTxAId/VormhAweGrjUEAGLQdnyu
q0YPHozIPDV4dc9sRbrtgNsBEM+JGJLPUPjDGpSC/5fDfN3W/PfS6AL+Q9TjuZZHrfZlLxIIDZta
aNWo1CYiYFdN0J4NGPl4mCDgJQZjqW42gnWWIOooGUiprNGzJXL+4qdUa7Vuv4G5LhZ2l81pKKu+
APJAKIS3hjy6cvok2ejA+Fdx4Fv7VrgPupk7a0xT02oQjOsq7+gNDmK2nDcciH1gcVkdmL4GHKNc
IfP586cIzfDX85zKGDqhYwmWs/n3/7fTQ63vpaPb19surpdNGO5Ch5lYyHhnKo1jR5JHIEOxD5Gg
L9sMQUIefiILRfnOhr9rhbZjez5SBQ42gRUmaByiWBBIYtXpo/wlHcp2Ec3F7OwIaZIfmts/ViEx
QgmymnXbz/sf21qlxJksMMrEC2kSWm538Q0qo2BNfgbCdkKDJ+yNjM1FtUz8GtC8XuNhsz/+fDSu
u75fToD/Oxpfvmd9k/QiwJ6+DZgL02gdq6U5GRW907Rncu8igPW5jM6uLdvAGeCZNU1oRz52UXP7
59cif7fSswHnIs0qZDhflz5ks6IfZVsjakT42At3PAgzfm59uPqlMR5hds/yAWLPQMrObWfjNh3y
+Nbxir0nkh2Woero5yRRyAI7RJ2RTuClFmpVjby6eY8TZaSGifiHNPkjqszfGqNFih+IYuGXtrvi
YDzwZx8qt0UcjgZ6GXZQXRnjZ+vUVZ8J9GyE9uZtk0h/I1P7JS1ktXA9eK7W5A/bGBYGprh9aLJE
uZabrpDwepvBm3W9+rMl/DegyY92G3FtL7y105TPbVMvrTJUR1VaeHsCfG9RcvOXY/vrSY94zxCC
PbCNWu/LxyxNZoR+xHLqiviNCVe+0iZ8xfnEnv7Pz/SbRdKmhBUehTJ/VZ8/5P/7etVJbGdVDuy2
CLLPqCiX8Nd3LJ0Xl5k1kMcQ3T7QOpGJhz8/8W+2vPTCTNfDgylsR/9aOJOi1RaOL1meM7luuwhK
sTuIfdzU76YFtGty/ZVjtiQUZbG9kMGs3yftiZat5i3jBJem434IgHxbKHI2fs4qIrJl49tG+Jdl
9zcnOmpJ03YsyM904b4cowZxjOlHeg08kUyWvjzkdfTW6cll0CQhdeqzJk7nb1ev32xq6PihxSR2
yZL21yuqRzj1oIhq2Bpde9bR4bL2Y39Vq8l2jgF6XZyVAPQ1z9rRZfhm+i5mjKxbYYP3ETiLy0BU
6gqsXbepfDaagOselNEfkJD/ZQv0a73GBym5dDp8LkL/uv1Ch47/pmNN6l0MpXrh2KyDWLltnXwZ
GUaffz5xfnvGUiK5nkG7jU7ff89Y2yPaI22Hemtlp74xT0LwrGZmn1mcLdTpDlOoaYBd/7cT9teK
HCo7XVJOVz6QXzi5UQ0vwhAFKvipee5HcYe9SSNOyJmdfRVY2mzJkLGDCY7lDLoCqawS6h+WgnXv
BwQxI67DNdptdDe+mQi6/8ul0vi1KcILdCgedb7MoCy/rBr92MoprGO+UZp4Y1XpKGQQpMRFfaJu
/BkqdsedcDe2Sb3mjPeFCFY+yKy1U2E7ZBX7tEYO4Z8/LvG7z4sdMp8U1a0rvp7ITdD5ppXpFV7h
INro6RjutUzuITRFK2YrDhlTcG/h7eqbgEAH0F3ES5k0EdvITS9jittMqntrGH62Udjft0ZwhyWG
FKvs4GkWOfBueJ5YaY6lV5LA7ctsS0qGfs64LniRcWpcg5ATL/ROU8FlIoOWxdo+orayve65Lk9Z
QYWgBjo8+7pp3uDlvuA1zPeaFTlPZhl8TKVaxx3pxJhph1NicFnD2lgc8Y7UJXuAPx+w3xwv17Nt
m8XYYS9tfDm/Q81Vo8zsctsFcmlNCvqnmLp1n7XgM1pJymR7Z2vVZ9T/tYn9m72Wx1XH8XS03677
tYmtIoN2f+WUW2whDhbGVuyU5qPZJACSPDgiS/uqusF12iPko79JNJZExWH9ZUH5zRGglpJCt+dp
xC9XhgJ4ZFO4otzGarytBMayMtZBKfZZvnRC421wM+MMvv0YCbP+y+n6m0a+y5PTzaWIcejli/8u
L+aEmy5vefIGN8yinfVHbo5rPgiOGJEJZdG8DNkUWsQu2BQhprk/f/y/WWVQ5duesA3bEMTl/vf5
2SlljRdC6k3aKUXQurd82G4w/ImTMleV/td3TCn0m1qSPaWOUB+pPoDwLwuHS7RRSyIVz9ml3o/c
dCDQFo19GWjabFRT3ScAq0n/Kb0HTbqYjVr/w3LC8OAgtd4GAwiYSHvLIj1ct+lIcqFSRBr3VnBp
zYZYF8QcAUkry8YhuCdxwMa4fr0sxkrilK/joxYPzlNNi6kmjvfeDJPneuzGpVNX0VszeBsyaJO7
Gm8gU4RccgXUKXuzQT1mRLqsVZEGu5SMs+dYiB+dHco1xkPyuqiJToEx/yFh+G+xo20jHJGmrn+j
m6OBRmAb6fTySaFB3tP+8k++SlAF5kK7SL2r7ibTTxZtb90x2Cgfm08rd+eI+c5+dq2ndjKinx19
/QraftWqB4cK4i7vpXbqK7/DYZlRc2MH8jD1Yd8NgvEQtkTGTaPxVGewzdl6ei+4+7Kt5WCna0wh
bjMveWIn0+7RdUznwdQPsmhJSWm8V4qg+FQYQ3R0p0RfcIXMnoYxetCroF2l/eRtPNw730P2benY
DG8ilwlrhxmvmklTi1hPMMaObX4fKefdDIvpXY+Nu8xNvjepIlzKFOo0Oq06tUPzUYyEROF8T6aF
m+YwyQs1Ue8xBVd5RgXWJOBzVVyNuIJTpKsKnoCTIBGf8oJdfZs8NxoQbWP+6fqQE04uXn14CYAT
1Jkruzo3eU7qJ22S60OGW8gbYnO2SaYIhZhvcvSm/9y7PubHw6ruZi3q4G6i2JJHWo9E7sz3/r3p
06BbFz09OVcW6WYk6HYBoUid/H5UJyJ76XUGyJ/xUuYHvG9Yoj2tyQ+lU73CxaV6IVWRhLSe/JL5
3pSmCW5aU1+Q0zLdank13bYkReV+eXt9hMnfSA5qRFDPBAMO+E2T+fLy702ZwZFnr3ImNC5cyToe
5lySeFeDpGSPW4jHIbbCXeOkW9A7aEZ7H8ZATEmFQ7V8GvkENiHoE4ge0r8XZIIZY2Y8k9+ZH2oQ
+ZbGNlkvCu1bUxjatyEv77rEaU55lGkX0OTLyVPN1h80ayUD6T8EIeyQsIa2dP0xZYt/wsq9QsG/
r0BdgFp34v7CNgH/YaLB/SUYhoQ9R0fZilgFz71H9ikpxPuuKH0kMqTJgnaJ7kTeRTORBf46AdGr
abRpv9sEdFi66g7IOUj4mVO/kjFKtkVeOOsmMwHvRIiAMtGk7K3cbW0P09NI2jbWxm46ZZo/PZkx
qDdheHckUVVP6WsyPyhIRduDBufLUDjbkvLlMUCrcg8JZVE5RvlYjkQ11TFJ7cVkEeCTt4zoKIlv
7VpZZPRyj60rwCFkt+h/SKJq2CNFowURpJycDXyOVytBeeS4jX2ThkTnTCjURePnZxLpAvgvTbWV
GEdT3svj3KNcmLHrLEIZdJsI19y9nmYwCLsLOWn12pt4217ne49dmNkrfXAd8As8MaKWBKxpX5xg
iEyHoag3tXkwKuIvmZ77d03Xta/BIF7wKB6MKctu7d60znnNeZKbLtjuKm1OdQ+owy7Cj9BOx4Up
AkkPQi83eSBnXGTNAc2a9H5K27vRHezvaeRCEeqKYa/h3X+Rw5OUTvpkKbG2Co3GcRZ1Wz8t3e9t
eFOiw31l/jtsQP02u1oL4hdpM2ifH7dJs1onBSaBDhfzwnLz+tEWkArNyhx3bUhMQTVFT9moXllI
ktfMwmRaxPeRmVcX14jtp5BErEClT0Pbt3eWq07h+FSI0nhwKy+/ddPhEbKy/4jQOz5HjfZ+/SkR
Sp2yGh5GOqdj9ZnGp0Hv9Y6LDNYc27/35puxEQBIw0kcEkagqyIyq52Vtc1qorm0K0gOe5yREyul
Cot5Wz4+JgIuAwjaH0OPb7/Mo/oeKIhx8oT6VtVdfd/MN8YMlB1y9KnkbhEm1knazpmHTCcjKJDU
1Og+apvoXgHdsHv9lahncindwdn1tvcyWFlMvWbzXTRjzhHYWsYcbF7/5IPuibnqWy4+rrj4GG0v
roQWUMszYzkoIlgAtm7ZMKbosTmz4NlHqYHekY0KSTYIxtvALcfb6z0c/pKgjmQpJy3ajLinLtVQ
xxfADeGtnTx5ZUBMdic9WmOBeYABahwKk46NQ9DMytZs88Y2uPZ6pTftvDF1Dhb9tbgIz87okIdn
xMUBPIy+Bm/lbXtiwNqYED9GtPWdqfQYrq9wDqXpFofUJjuwdsiouV7scsFvw6in0PcJz77eEHzz
ZMQekRg1TgvhlWs3wKcgfP9tUs3BDolkj8qfJFu9277BNYc+G2/g4KEBbDEqbaioPcD/w1qBRQLb
QWyPzIxokeXpjTlOu4oyYiGFWgMS2FpW8aHi+FscwwtpkxFwsfqpzQkhiLyk1os1ISO8CvZ93VCv
c6BYE14GoF/RsQ7rZwJAF75ZfUTdUXAdp4BZDo343in7m66NuPNVe8d2fpUNSFKc2OSa30ly6dhD
aqk4QsJ5NsfmMhGOQDvkNnGC+arLZMkXKEnI43biZ/IJd2Bs3k0z3IpabcHz+p3HsqZ9Zh3CQNP9
mJphwKObL7XAZ9PquDgT4JoMOknXjELVwgzyDv/uRKo5CkWKoejGyKendrQvpd1NKyMp9nE17a0x
uesyPEGUTEnR72HOZKRIGBsrm7a10tZjZ0LrsmH9MHJ0xp9UnHcFIjQABpVYpoWgA5mOFoeNLavk
bcHlmAhzPhB51B/t4jGOyd+wI/ktEvq0bGuB35AI2ZVFAN7ah9NRK/fdNRKyExTZE1PS3GWe/80e
p5L8s5GY2YidCQrgucnoLHu6cWXu3iZR666nqW8wQKT7pkZ4atmw2jLtVg3DmyKaQ+YwivRq5A1Z
xmtW6GdaJeRcu9tMN1fORO3p1dNHSIwbwz8TJinnF9ek2eVNukVVVe5m1MqTGaOkRRGSg2WzLnql
YUyXSbTsCG5IzBcTShiQMJrPklMVVF6xhgNdr0vypntHy4AaGBUmvq7Do9bFRBGbZ6lRR2QV8EQw
Ft5htFkShPNTA+28yl3rEyKaviQ8y1rEk3eOu+lOrz0qZEOaeMzttTBBjMVZE+wweqoFjX+kh2SV
LDpFqtToMLSwpxNJvu3NEM7MJCvYln1+NA31iO65WchM3tAJ/MxoJZOUvKjb9KcbRZ9WnZMoMWVE
xLCzWDhdtYmBNq6BuD/hjHktjQKBAdAc+U2Q7s4wOvA61rp+WIHzAExhahzgYk6xkNqyiJqD524w
/xQrzCMJ2cHBZjLtN1QchLSSdLOpbAKey7bjsmvYKyPCqFKOzdGKBBmp+vAiDU3bOn1/WxWdBSQK
uQNAqkObc10qOmefmqra+ni3rECf9nXZvmdcAKNiVHfNWN12UQKSCOLMKisLwNf9OByu92qlr6rA
a2e+9Yl2jtj2U0AA+WDlB+VQ5tJnlEZRHBJXaEhBwoOXlfmi1J1q7SkvW+U6PWM3ylZdGlQHtw0q
VAY1qt9c0oK/PtjO8QlFExytoXe3zG7Kg6FVdBQLvQSIEJcHk/qmWKR9YW5RLJ+c+QlLMRaHGfdI
ADPmlRgsWD5UNMZz4S6vrz1MhwyUXPTOaEAdomBQB5vanciOmpjcCjAKx1mHBBLXB1lGAnnfLPuo
hmndKfecx/HODCr05X76o4OKuHaCuETy3uaHdj4IccRwAWelZIoCdjGEE7HLR7kNGbang9nvU7yX
DIHmf0AReONWNpkWdq1ByGp3I4SSRd/7+tJyzPpwvWEuuHFq09tVmlwP2Or2VSOJnCnTBPxdyPy/
rNzsAKnnudIIR6nnn64PUYIfVeZE66lKSR0ps8OUhtnBHaZXV7JZslqEZTSiinVrE2dL7iWGvGg+
ymVd5yu4QtmBl5ftCWZaOU1q7SO4FCrUk0MTVMkhnu8ZfbidZNjs4qx9gZWdIzOGPHG9gbjTbERm
PGUJXDa9kmRwz7+MEo+l8nq3l9GaNp2zA20RHEB8Qcmf73nhtNMgj09+Lza1mHF5Rbd1qpJkqK4q
n6FRDGAa5x+1OdiHUwpYliUnlBRUeZhwCF+NDtebUZPqMOTPSR6k/zwMfNNdZHYEWgKPZbZphFVT
a/gIANtWu6nK+AfeM3/NMMNFUUyScBx0ZysmYTl06lOptjNyjhma3jPx5LpmOJw+SWNpO4NPfFGk
isRTKri12WMonRJtpVzdJfZa42Yo4kXk6YAhtcLkS46pKq+dahOEP8Ex+geafNU6iatqWWXwMWYm
pS8pri33ZtQ84Lqx6y4EswetpFZNYv29b/E9YHOLlqPufYxmgw0xHNaxrzibQB1WnhFi0plV3/+g
Wa93JyXy+nB199pXx5J3tWNdCa7XR9v5f5ClEZHrS6tCG0kah9m6uz5uhaBj2CnPiHu7dS0EJ/M/
v95c//z1nt5bYolx2f3nt/88zz+31/8110g4gvpYLf958Po/FdeX+++fKyrHXpmzU/Tf1zZcX/z1
3/zzSrAlP0tzcv55Sf/+wxAm4XoYxHNudjgfr88aa3JXy4HLdIA54urmvt5LCO38vx+vv7g+9uXf
IeVINm2bPV4fv970V4v4v3/KCWrsz0N4e30I1xNBVmn+o24ySmXXzwET4Ki7/vjvzRRRSOdTyad9
vcua3t6I2VsAqucGYEO1C0tYf15fwpzJy2Ona+KEhtKGwynrTdxEZCemhg+RExSePs8Ch2gUS8Rx
n0NkkGoEV2v2VbxzISoWOovzNq7CPYaHCcxwa12a0ajxGpNKZbtU4ji6NikezkVVe8ZWFFgpZzap
Gfc/E33QtxP8roU9h4iDhW2Z9ir9h0vpchvS6qDOvk8dEGlduKpYyBdlOjnLOrUwAgrWHjtOftYD
2QHSvEOwguwTauEK/PxzTsee4O5JI3PBefWcizT0TT6UP/whSG78sWzXpA9Q/fvNY0JwhNZWMNc6
W23h9e3DarK3UHPuswZxUQbGidLqMo0WcWxg/uvAh5RD88QyGoJECKF3Wx3gOWo/y4alFYthYfUM
gVXuEaSVAXpzUoLfk/KHuu+78k4JkuoKy2L/FFysfLiYUf7ZCIntRQsWXD9/dp3hb8OGwsO1GgCd
AotKSVURMUUYUFhQ2NEsosdCR6xih9RQlJI/a+S5e0yt4vvQ3rZ69s2Py35bBS4oNbIXL4RS/4Db
E8IKKD+KoH3QmnIktBYypIILGEThWxpttLRy+GRnWWIrVmYVVmtixbZODkUwqNAmKPZGRtZru9b8
aWe+sQu7xxD51rfAYDtTKP+ooU8B/Lsfuxw1kqUfyXgu1rEXqaVqc7XSS5AGuN8MLs/nqPjIRTCs
a0rgjSED4gmJLiX9yQB7pc8OqKCqFykmt2QM8qVR47ysq5i2lhGfNY0AsdqffqJxjM+OwPIlKveQ
dsSjjbLr7yyEZyotnrWkgOGGAZ9ZR8tuR5T5KVEk/2LW2o+x2tF6etJ4CQdJ62NR+B1jQN8d1pMA
wExEor+rzeKN6pao2srMwVOZ3a2yF3rLli/TGMsXLUy9bHCqVcd4E0F6yUQxhRaZ59TutMBS0s4k
yRqjeqCgGbeKMdEiYi578Ls7dEweOxP2BkgNDnZlP3amWy8IXhg1PGpSX4HJ1PYTgvqlGkhPI7qi
OGYKnlyWFuyDoQZaPvruiU4iqqjwuxMRbkEGLaF3EdzVhv5QPcfPEutWLcm6Qp3euy8DYMgb90ec
t9VtSQ6YDwRukua5Degw1INGzrqen3UD9UcnAYsRuzBAV+tIepG1t0X7ShpgLF5BLHbLWgAzCxX7
/ZYBLmXFcjLUswXadKOyVq6inMKJdGM4WUFGWGyZbDQtqel+KEzfed/TxsqgshXtRZpJtQ75Ix59
rn3b1guhE7TbqsRdjxloRRJvAAgyFo51wdbexhTl5yzMif42a8AKrWIzwtGhrqOjn0yfGaNkLVff
tbz4bPtBYAuftAU7eXub2si10qkADuWlfI34/72hMSGZhu+h8jdDJom1blS+ChV8lLAPybe1FBmz
GXJOEpIRRnvqiM7JXRUItrl0Cn8jqmHcVXkO5L5R8co3+w+l8vGOFRAhTNe2i6oc2hsVRyV2sy5e
VlNq7zWqOQPF9yGldg/sMj8YHRswSzefhAapIMXXss+NVrIF0rzd2PmHso36VeBF4X0zWB++POXF
uY6Y42idJILYF9FlAsdKrrS1TCeoy0QZ89Wev0W9Vfb7cjBunaCiiPO6lBmls7WtEVkmG+VTOd/0
yygUtOayxoGK4YmtVlbH2ivi0z83JmtjY3mfPnFvOVWCWOskY0EpM+ilbp0yPOYZMhWpAGgyDnQY
AdIcLDPK1rg91AjnDxSUw8p0mV+koEFzFHRQMlJWqnk3aW5lFey9is6KqVL0CNqceBj068xx8J5n
eM8V+Eu/BTScvQkjgrpoFYoxeWiunuouszcJIixaW/6yDd1wAxUgQObKaq2NEY0hMKJCb9/GbAqB
PHb8LbICfQ+UhQfzgkfXLnSOddGaYPNrTy11p0kOijS5RRaqja2C+r1Pu3dTH5aEpXDVIHtyUQ2Z
wT5x/Jmb1n60re0Yjza9UHcxVBo543W07djBXkCiLSJqmQXBTgBTWyDvXINelBmITaSy56mJTqHP
UCPoYQ4yy9E43TB6pG2+C+h6bVBeVSPYIFbZJGzkmnHzd5qNcsnmFu2OmS3IxzOZ5njVIYsBa5jb
rDFZo1q+mYDSthbL4y2E6wXZtGxT+03RwgfCDQURkjDzTR090vLGfORt2sy69SbXQ1lLIIxjEnzg
FP0Zjl7NjsFz130611huMt54iQbQrx0uYX1ocP/lZuPexuwAA/Cnd5VVvKvY46QTXXwa4volLiO1
HWm+bPK220i6ZgDW3ABqPMK4CvzMpoyNUyioQvJALfu8jw/wXRgZsGivgkBMm77qbrpwMNcjnXpo
s626rT0uLlb3jcxc9HMRPD/4TvSVihnh/B1LR/qtY4C0iuJMLEGgE0NKy2uTCwRs4ESPAxrxfRfE
H70RwKI2bJB+XsyAJ7F+JIlnbkUPRdui17UzqslfN04fLBio7enLjHvZVvGhBrXdNYW/19JpQhU1
/NCkZx3KJvKOGDmhs6CpRI1lMmwjdw++rdOcaQXoxzgpIYv60aUU1LD+aN4aXj64C63No8sd6BHo
wYxXd4GMcEhOhg6dzh7MHc6t6mL538hRT++LJFglYEIuaBSye7Tx8cbNoPUb7feq9YsHGUXtaQjV
d75u5UPjtmzrZZgBB/40uyh9UW1XHvRCG5b6/CPKuHTVkPF4Y3X5sA8TegylAzZm6I1PTQGuK5o1
JN9VV0rnJSVqYhYB0iUBe26N+XDr4snD3tBQE9BKkn4U7Uyz7Fd4wqdbi8O8kJFI90nGFnLkD23h
3W/GMnyVsIGSyO3uCjsMzsxMz81QpA8qaXe0oMgTJr+2kU23tNoq2IhU/4yb2wgR/7Hsf9CQqE8x
3mkmakgrw8y7idJWLAkNMNcReVO6Ubd8u3TsG1rbHSKGWT0KmG2KqIfZFtvOceYIeV3PkITiJQt8
tbMKm6WdbYrkxL3RzXfltms5dkQ7gyldC+VT4PrNq2nlZ9tM87M0aBf6aTPsZT3t+yjbDAqzUkyA
kFaE9oU89q0YLXvP0HbXNf03KWRzHqNK5wpidJsiH8GvQsxWviRrKwO0aum6d0xK9rB99lKZITwa
mpeoKr1dWpg/nEa39iSQnQaLNoI1WGu7b6utPrttE+ZNgGFCinhXHNMh+Im1joao4/TrOJqIMcj6
baLn9h4AODG2SdMi8bdbEHOCCy70SPoJg9hZ+cYhTg1sYx/ddqy6hjLknVISEKcPTD0tIrKHMzoi
GiMwhCbj2laCEJS+bndTlfh7pDz7iVzhVeImyKpYKfrK3li0qlaAz4t9FctxYfvjU1ga8mDhWFik
hJOuwiH1NpkLjnOoVXFvJOkabgfiVNQt28JOI7AWnloE6B1vPdrj0FhqQj0YvBl6vWdFGpB+2B2N
jy785gKi1JFV19L7aQi/23cWneHakqQEKDZ9fVSsTKrsZQE0ahO4XEb1lKQAU7QnI9bGTdqCCZ3r
z8NEOYvc1WdIINWrSYt1L1zvNej97lTJtRFG4SUYMIskLWw8Bu0pmwuHjkpBdUdFW+10xNrWUGbH
frxBOE3hF9UxglxZbS2ltogwUZzbw96PK9yftTNueuJsVn18iaLSOVelDWVBHx71eulHlfZsDExl
nOouGkt/o1nD+8he8ZjlsMlorh1duJszpzLf8sHMKbXPPtTUNalPGuT/D9/J7Gcjei/G1F97chiP
wu3cfQU8wUTCzEU9Dk9hhgPGENljmg31yW9i41vXPxQxCGwfWcIpjNz4nDasJLTytzGCk7s0bGkP
Jco+dclZutRyAWwoRuFBzc62bu58djCfY1I5Zw1ctNFJxKu2hWp0zrBNCtoLcCyqhZNOuIn+x955
LTeOre35Vlz7HGPEBcDl7QOCmRQlSlTqE5RaATktLMSr90P1zN4z89t/2T521Yyq1a1uUUT6vjde
P7Q2fTvSnd0FY6N/8vUztNexmPRtJKtsK+f5UscqPUJRTPfSngNyE9k1uhT6ySHPl6CA8/cHYLtt
mpmfdWVB3uk5mQ/STQJmd8xA0XSZw3S84XnQ39u9ThhB/GMAJga17mFoYlRpLk3DN3MXFuwFmlyi
BuJttcpzZWVGoLnEJjdDB8c+51ZQ5WifvXrwdkwMNahcKO+Ixusc2stNmjhKa1q5QqcyIS7SoxW3
K5V586EEKF5R72LRrwTmqWs9dI4D3UwHw8aYwuGcoRsZICmbdPSOeEfJYo4Qbyf18Jk0QwNnNNur
5pqu5LCwVgl2+z5usNUWRBt19MVTLg6sSJFzHtUPpZPwLgUWpqXjlOP/sMp4LR3a08nDYX6nJztQ
BNQfE4+uithKtjEEAwjoFAirfoF85y5ilwkB8ylFpImabq1qUgH8CIFO1MvTa57Ka0GRfTScn2hR
tZ0T0zswGgT2XAHf7w+apDiiHnljamLhz8VUrQTCm0vPFb9P+5Yw7k7v91PivZZh9Klh3rzLLRL7
2Jp2iKmqBS2FAyNjWVNtXhTLaSAWtpImzHEjol1B2lggiybauHPXbJ2aSN9QgNxN0wj2Gl85/gTu
2VmrNGw3amA6bBLvha7jm7wj03+2BnkgvLCGFClfMMYqTgkKJ2LN+DlRm7ycpnzYK3biTWp4zTIV
xZlwaHkq+mS8DcPqME2GuZwom16X3IU25ZDpy17QiW008fPUanRUq7xdWVSR0w6fMgql1EXUIBK3
TvTmm1+N21vPfjWg6xP5a6XhDx3tMX0FV6/JLg6awRY7FmvB3RvD3xBbDZIBSxJMPFwKI5U3FSOF
QxJbJ5RYeNxHd1hgQAc2meqTLR77SxnTLRP6pkU6w8DsoTyxTjLV7dKMpA5FmNapO+iF++l1JuLN
JnSWpjNdbFHYu476C09vESuYiJALagqCWin2Dg+dQIfgDamNckhUEqRSR/OHsFHhVpDjbI81XRAk
gGwqTZEM1iN8xwyioqpeh2kuMSy4SNbZijKVIcpBhAeuNZsc/ZBgYtmVyywx3ppw1ZKcEuD02NqK
fq6ceMBF6Ffb2p4qhAZxF9ToTDeE5237sq7JoUD0ntGm40Wwn/VG0I/xNeg7/CMLUtWJXk6sO/ov
CPJotC3Zx6ssB7gily8oRNjdyEJ7HYvxPTLBQoou6oJynsZFPdvGjoLh25mQ4ptay+TRqBQJ1ygz
IDQhURuDvhuLwiKe99dLtwyykbpia3xJK5Mxxd03quB+bzdLKZqGRz2xVLaf1luLcSqZyFoZynGr
LBzyIjSRXALJMEugr6uHQFWwuUWVkk2fxi9Np4HUgvGzpKLnqSdWudE75XKe9rWebbJwcg+RszYM
op5nraVhjGohjquvtppP/jxB0RZttmEBG5ITe+KoD/BwfeNZZGVjlB5WAyRbnlVv0GRiM0UWsJaG
tYYpaBWZxE8nQj8UTlYuRqsL7xvApWmEr+1wLxy0XhG8SRNAk8WkDGQRcohOsx9U+eaSTrhHBtsv
FFVByyaunW133es1gLVeJdZ2wt5LOSWuBQcoHM9tCozeMDkW7nOs+R7wYl1uGj0er1UFpBGFo7vm
bnjgYI34GiS7id5Yt31p7LHfEUZj6wOzLCJxaVJwjxHKDuK4tY42qpxdMRR3vquqY1mSRi1bKU+u
y8wp1HjkJjwvxjDzb/MEHCQBW0vSxllQXH1hgqJoprQQy8TtzvLMdGnj5Yf8jFaRkv5m1gvkFOPC
ayp3qRWNPHXufDFgyq6IlLs3zLxY2l01sVPzxg31xPovtBDI07g02az23OH29iQyTDfDWzeYRpCm
5EK2FvBevLJDP16ZDeNbVBk0VNNzqezyo2Vp39AiEgZa9VmS3UvDnOHRmp1+DM4V6jKjfHttoXC8
oVqauAjXthf+NM3yNky/cVuAbBqw6cCNMf92nNW0kIudUcZOMPrwL0SBtkGkau3QOimDLNbCYI5K
m/ts8QnPy5JVML6EM0W8Wg9Y5GkpwEI93ljqBxhGkDKIPLvDblLS3WfEwBLAnXJ0POowKHNtVhj4
iVuy3qSb6utEj7P9WAuFkN9YmUnf7RqKSFjQuZUwR57L8MtwZXXWbWdCDeHR9FKn6UZEXJmuP9IZ
xn3DZ9uofWwjEb3aiCT9XZYPryqXySFS07ku3SCSTX3McRYEqahgCGf2Ya9FhjU4Fu8x80CSAwZN
mf0eGkA0dqY4yoOzrdyhXwhnJLun962942k/c4zEOp7WNZAjz4N+8g6jxY9nj+QZ2mWjlkVIw1cE
5XjrT/GWNpriarCNlnYTWhsXsiWLxT4qvGoxTEa18zSRb1Jgv3Vvv1KC4R2aUfkYWIdk59qnCpCF
kPls1LRzZDhkSpg+Z4DZciHn8pkqkGGPsa/a1LNOoCL002hTfGFbTY2KhN6t2Fb+4fsDlfYfNdga
2F9Cd3Wnkh0JTHehV9vHWFo/mSn191zaZyfU41M8Nd7aiJMbtx9Snq+9sQIS6tcE33M9dzYH+Nrx
Jn2xBW9JnlO/Os1DNy5yQLC0vtJjKroo5KwMTHlK2Xuxa7I231MhJHfl6Jyt0h039K6ZizlroPcC
HhkxLWE5Oo93Gilo4/Gew1wynNMosxkzOwsKXxuZA6zH1C23Rde+mVWbXWogoQ10GQqP3mpORScv
DFXTbtQLpARl/lQyI9F8Y+16X6oFRvBV6GasaXVMa0Qy2EGfAZhOHgb7JpwWsTLjvdR5inZjyG7Y
OBjM24xVYMaFYUTpviHQ4Ihkbn0Vsq9K6lDObVz1gTbW+nqa/B8uwrVAF3SW2CPeA6xbXZBXatuY
lXUYp8hZ+OxiKgV+y4hFAGgYKNaw2GnmSr/xZ4PnoEtdXAQXM2VaugAac2+En23aymfVwV/OMQ7v
T3mYi3Xqd+bKbrjK29oEoYnL8KbQx60+2v4+Z5be9cT24R1v0TuZ+Smm32ZL9Tmvg71cS++nyqUe
t5/ik49lMCb/eW1GRr4p4CmhoMZ2N9c2q7J2kxIcFji6nS7JvKt3qlTD2sPitfR0UgwVe1szipec
a+WuMKgQNNt4V6Kgui0ofiomSTSzyNqTH0VEH/zeARXE1mjsHVqFgmYMCUJACxdnp1jZXdDmTnLM
wprD05MMK8ucu1VJV8f3jd/r2SZdjXStSpnkvMbjKZkYFfWmvqui9NYyAX1nAhRzGvoOHEyXU0hx
I69rfVtn3Q2ofBPIRtLiLSAnYmk+VCUzSjggPuozmKE+MX6WaV3eJS5FRlVjv3oALQFWIF4S/o5V
2RTWk95vVf+paO+4NJau7rxUXcoW/RT7sBlkVKU+OXn8WQnRf1YV+J4z+YtZood1KAY2k3k69lQr
7lpzzG48097MJPu+8hgs0SCa6SoTVbzvLAk63k3uKc7QlIRRRUNI3y0jo8l3GlR6mJiXNvHv42Lm
JNLZzqfKqgMM0hOSxcI6KcnzI0yVc9vXM8V+BBFUQHm3zfXDROAgblk53tnjYIIP6PbjjGp8EQ9P
+OT8645LrMaQ3021NW7bsf4q6qwJvNRtyEnWERTZ03g3+EZ0krpeQDfclyGbL9CNe3DAOZceZgbg
+zgNTL2MV1rUuUtWa2fXtDLBBIC3ba6Z+yVa2pShFh1cRYaCYqkzBw0fb5T9MBzjFncybRk+cLIp
Eblxu/9BxKvDRF6pXUKNH+XnkmYiMxM4qOJ2a+N1esiK+avm/E68vrzYfmdtG/boRca1POu9fjuM
3H5Sl9pYfaZ3z0qy6qaQV2GL7XXXGOfwUMgalmVOjhgas5NpHCMJuV0pq0BA4p9VHlW3g6jkPus5
63AMtQdPhPpNb5ftyWzznd5UD5ajAT/jzNl5UjLQKCcwXSYuw4+sRxJc7wH71b734qWNRYB69Sh8
QCP8ZA/esNAz6vQaEeZns+WCryw/WbpWAkIGmndD6ijgn4lBd4zN4ghHy45V99vCN6Z1lyrzXI3f
pmBn2XS5OI4iak+drt8Y3DOWbVeZq/z6FNFyoFsRJSjv0DYNEFhOPlfggp26j7RKP/vxvhUbzFb5
ewY8FYhRb+/a/o5a7vyYYy5g8cyMF4SJGLgNicAcmuGZfbG/ttHZ3qtFqQnsDw9FA/iH6dCFXSKg
Fsyye6NLF+miqO19YbQ/2Aj0gyl5JviJtdKxg7vDVB0UenKOCjenjNbOu2G0LpXHrGcbMQjJ9YMH
QUXkRndOeX7fYYM4Gxb9MGSE7O20RUWUGsmhnwj4Vg1+o9YZFqysA2ctHyLFvq3Nw7DNu27T95mx
I0w4vQ8Rxgm9WbncF4PC6ueDAMDYTiKiKq2k6FbDFlj7VvQkE2DXqGjDI0edKmHVAEDbWfkjDxlE
COtIzkXZmZsWdvQJbhuZ3hlkT9jZrVkguCvUvvbc+qnortsz6QKy32rYhm7sSH8MITS/KqvhEeg6
d3T0uCRi6vyroWedYIXO2cAw5KlwWk2kRC2rrjgRBZ0wP7GiV1QR3+hg/XSDdQ8KgTLva5k8xw3w
TuPhFxsmubaNyWKjpTvuWrZe9PVNneVyWaDKhIfyuQmnTngnC/HmRaLaxKJ/MLXoVsYIbrusHDeh
aFnaQr6NtPOzM3neAZ6+ggkeaFtq8nBb5gT/9PbUnwfcJQO+gxchAT6zLDkbuA0hSkyx4JrE5RHu
cP+tRWuKjw6fgqAGrQKb+v6QOoZ7siNbvyGNaRktNfigl9xu5EHknPBGVuovSvYdIrXYO1gD8r6O
0MpNrvXFTZ2kaLcdp3uMObkBe7MnxFTpBviQlWqO3F3dRsbCH/z65wRFNCWGfoxTog9qz3f2pjV3
LHICfWcLVW8V1ruHVOixBcJhGnCawKV6E03FMN5Pk6gOmgo/R+Cg+yRM53VdIlTwv/GqEo1pWccW
3A3wlZBtcfSmL9fVxnFpWSg7CZUxAhLuuk2jrq6DJLUenZlC08TsLZoseuuxMfTfPxU1zzvS4qa1
zPtuq1fIwvNyLHbTMGEWKKIfU2clj3l979d+9dTTF3g/WAOaizQ9XzsFbwk+2NRxeAHVmY6t5cfI
83z3nJVh/GR8cxHdWO+viZ8+vs9LnM9H5TsucEo2XbIKpA2TGQ2YiDBYc6wDgaWsGL5sXuYQCgtz
AZHEZOZvpARz8FGzESzQ+eusY4V2EGGXV3n57Mhx0xaDh78kL0/OhA+ytGByJ6Tmq55gwTXsLopK
p61OZlV8ATV4m4bi5Y1vDvTx2ZJLgmFjMRYQ/OGkcZth0g10Nc7rzmeXZbaebgQDf1BXQ898pxlb
37DVbT+z8lJwbD5NcA9kXnb3vLCvSUp/OSMPWXVZPGxLZGgLqbLwiOxbrWA1IVhDKW4zFMVeRihq
Fx76iIG3aLsvDicAIUXJnEidtSaM+/ooNqw7Nl2bimK3w/LjHArNGVdqrLKV/Tw5tO01kSYvzG/R
QtfyeOPUzEdDyY49zHSTOSNAGQW3z1SBdI9IbFlx3WI6Q+0YJ2L7l13mpjdYOBwYyOmHFMq4+f6g
9QZkDx5I8At+D5psKxu/33jJfOBY5XvUesY91ddJ12Xnug2tQ1iM3NMM1hrhWpfZeFC+Zj4b73nb
nejEjp5izYxuSRR5HoVfL3PHrfC3xcNtJ9vhtvDmIw7Y0N8TeZNSfAhusC6na7I0xldo4lJft41s
vxMNDnpGIHhqtSpw6sS86+z8LfXRXo5pbT2jk4oR2T2ono0kFQZ1Y1Yvb+K2vHXtXrtlYUAEFPdg
PHMqD0ak7duaI09oyrOYjW5r9y4Rim7/ymZh7DCOWQcgu2g7jkax9kc8MzKfy5WPDhTgJLPFyKoa
uyszChtik80Qt5l8ikHFA8jut9w248e5uxMqLlYY/4fV3Haffa0o5zW85WhXww1JFfu+shzC46LH
iObqQ1coe+FM2rzkOeFtBtPufxku/+v7+N+iz+ruV3rGryzM9wp6Koli9bdP/8elKvjvv1//zr++
5js989+f3ZBMWLVInv7Tr9p8Vqe34rP9+xf95V/mu//+6pZv6u0vn6y+s0jP3aec7j/bLld/ZHhe
v/L/9A9/b5G6TPXnP//x9lEk5TJplUze1V+qpIhM+pM19foN/lY/VZaf7yp57/4Xf+33TFPX+A2N
lk4zmGldLfnXvJLfU01d6zdygFxdt1yPaAD/Gl36RwMVtVWO8x12ZpsusS54bNuqU/E//2Hrv/m4
nx3PcggSunr8/29STcn9xC3764jvPv75D6IaEDX5pk4yqOE6+n/IJnDwJvmCBtCtzPUt5AeXUNQc
7eRKmNA/wNNbvSjti/rfew8aeVFXswLxG0mYSIkTxBxpA/W2XtB75XNd2be68i5Mxtk+YnM+9M3X
2OXH3iMH0NXEKalyxtBkl+uUtrqMVsHUIbzzI256MJFAABU043StnRKwQ+X8mPgd86kxn4xYO9c+
O2VtuW/tmD26vnnODeuapDTc0K1SLNw7HV56IO2gjtCzAE9HBi9SFsVxGNahZbylRlkHU5UtIdhC
b2aXSOyzP933uX+RFCdqc3m5YtIxgVzCSX9SdH3bivhqWD2OipB/XZ4yg/WnVsUMUUWBX93Llzmu
L3FY3fdh89rmOPmJKW51hes0dJ9sK77r3Oyrl7x44dQvFGx+VRGQ+VjxNpNdexa1c5COQQ8D71MW
8ZojV75QGlgn8doqzE0Ytqt0KE9XkbBO+6Xn2KfeT1/yPtxEBhtXNrf6Mio/rIZ4TentEp23LWwp
qrD4K8jV6kXvh6CQ5Me4OZ3VYoLx0kYmWo6qnW1ZxIGX6OHWG15D3tdQ4Wm+1e1yGREKNMbCW9W6
t7NH8SN01Xso+XtJP5NcldJYOyA2LwsniEOzXYjvM0VD8yfmH6C1y9SW9ZosGSavMdqJRiTAJvZ5
dvOZw2lur/9winCPGILvl6192PVzRKAgxIhFkPvoPacdDEILGYYfBK9z1KBRRu1YpEEi2PaymsgE
B15s6Kn/tXHyJe2Ans2HOOAe3PFIWH6T/vocPdKtAmHgdigsq/KrtWZ/lafltkqiU+Jy6vD/Rnn4
Yzu3NZjO3GepiObz8+g9zGFwgHIvqSu5q0Q3EdXWdNfiu+8G7NlpGkD0zWtbIdc23OmOJ+S7Kd8N
EsDuzTbESOQDOHa1viQWs/FFGFAKa886zg7CS7aIzQePJCWrRaAAOLvrQ3cX9yU1SVwsoe+j5oj7
1dxQ5T3rX7WL4pFJ+1z0XDNS9y/NGD3DTNKryvE1eIN059wnUM0muRCNgsLLpjBf2kW7SEGFlQch
nhJgM4W4HM38faQ2u67JSaGO/t5Xigbge6woKtB9gryqYgi8K7iV+58hKeBJcV+bFln80ya39S8R
Ur48X3mhqMl2eYxppXCc0zhlX6NPcoZp8q6gw3x2BgjGahHaGVeC/mxci65CZ1z0hlYubXm0B04R
lK91UNDlRvEl2rJ5iF6MioZhxuWe07T1A6D5l4FH90Lb0VVXUkjAJYbcji5XfdPUxTG0OB0S6+L6
MoUTybaRMe/n7GdGXxJhUIHZ8F53vArdiL5sCXM6rHm+X5J5XBuZcedBlAWey0Uje3D7uJCLrAKN
pIGdT8IDXl1skDF/Lrz0J8kBhPSMvkcGTvhSyhhnJ4fQtd2LKYFiPWrW+ROK53HEkNc0ZvTWcj+1
yjBBaDNQrDnkK99tX9yM7yvchjTObtxAXR8Be0+Z+A4euCP/gQPbesa6KQbJiFn81LiRBalqdkXN
jaV0abWABszNFllZhLjBhGqudRK8sL3dI9zPgzRqui29snVg1gNMsZz6axoW12xH8fqUuKcx5WZZ
Scma6H+ZY54FWpsv27gZlyGJYeyB4YZt/eC1IKsqsiCO572M0eUALxKpGT+1LbejzK3MAKL2mCCb
4eehZLZhvaFBx15LhHI8DLIbizdi4RTkEYQHPcGixbr+oEG/jkqzAw9HIT00BOelGSEDRRjEWlmt
+9g5DRpHsLedNigjwTpYlpiLJ+9R7wDhPSOGR1g0N7S5UvrSpTRDAP0irIYu0YvBudbTrQh6LDdD
qOxgzNgJDNLd+syj0Nb27wzLXNvWLVwNiaJheaTy+j0zIQYMA2dmnX50Zf5gDRytzHkZ1FAsZpq8
17j6/U0z1T/rTOdnbp1Lz8MXLj3m0ss94taQJBJS037fS6LWPNOGm6IGVfduHj/osvsYu/FRitwk
x1NxsxDRnZt9fJ/lo79VGVpWQqSp39sMNjtc0dKmWoOVJlayxu7B7ba05a6xPLL4rw8sLDjoVTRe
aKW1IY4IdC6hb/VB6iQ/rb6+HSf15nblV2wXkArdK01VzcIw8g9d41osQFaDyMR/biOUTXp7F7ZI
hz2fNo1cx7+T+s1hbMONMzqbhrv9FHY7Lbo2hZsCdN+9GQbUJCl+Vj3sEb7E4apLQN1cVArhrH/q
Qj15cwQ7nwO7WigfUNK9Jh16kDriYaQZWK7AekGhBdfy3F+lNnZ+0q66zrlEdO2mxZs+ZM+y1kHb
8WeOPCdBAWpd/3RscEMvHH+oENVmZucRAURvts2w3NdHZ3iNVZUvpXTaRWg05JKPilJIca0zz8TO
p5sycJUq10ZbbqPiaoUD5NOo8UBRZahVV3Pzwbt4afuZW4VHlHTYmee+k0FDjfZ6vt4gxUhDed/y
JCatChl1D11D43yUzgvsqmDlncE9OR6izYTeKTdOJIjgP9DVuiA4YvH9OOTiuQavypf8On3R60gx
vLHBTQt/EGmXeVIvYzbDjZHQgl+Sm61jn3Ua0UEd4rVPWh8l8zcOnePMb4wNmlM/aAM/C+k/Vksp
C/V+iLMavSSVhGYQje5cRpekNm/ctgUvNwmWmfWX7zPHt0DdPegEljW6SzQkwiNZER2POAxgIltl
sy0XUmtvhz58Jp5liwOuWUQn34WUKWzqMhwkk7SDh2hmhnipYAEXMWRAatTxqiKETiblpzcYzT5x
BNYpPXxTnQOw3serGH3lwl2QB/xUVIxKmcaYJTJKAFHw0DO2EHWfrpVh3/OWl1tTCHVQ5vj7h2aq
1EEOPR7cSZaMTCsx9v7eIujNIyNiywT+GiMpWWeRWrZt8T0cD3tWd2M1VPkzPpglpXnXf+3eid23
CDJ17cFdFYtQ0vYVtXz49bnekhxBqLJYmPUc7uMqv01Te1yyaz94qDb39UQsCC6Mdl+5a4VVcJV0
Bhkctuz2DjbHPVBN96ug8vv3uusfhDAwLeIy++fwrwI80agqEIANFGSa8SErvFtbUFmdtULtfXIC
FjI1RKBZ7cE3Metqak2GtrmdaescW/tkFLGx0RPhLCAJQJDtBkl2mnX+pkDURtKnRVHA9bV825vG
In90pJ+vm+8/aOiSDYDONSbvCMxWGdF+6lZJg8wjNTCZYyaed0nrL7yruDYuMT8AzpdmhMBjMqKj
K9Sx7hBvoCskWKNooyOlrEetMvWNFVti7+Wd2Pu2RTCVPW6FphayLB9C51OMZfjQot1ZtH7/XlWy
P8YkqR7ncx6LU91YRLteQyr4Lo8i/lGDOO4tfOAJ3XK7XCFFbiQnjNfq4x5Ts2bA8fLLzDUZcUT+
9f0ZrqiMid8lCIwmxPTaUpNeOyO/f5WjNyzd6JcNNa2Sbj2a7mupzd2y4WS9ii9fXF206wooaz/E
mbWnB4Oy+H9/bo6RSTR3/FGoCUlqAgADinv9pZ3ZwUTeIbWhfB9N1ube0EJREFzrH4qhTZaMOXSY
jd5MZjI5X1WvHWRq1/vIKTF/85k5JKxTZD2UwejhmUYDoR2+P7TXP/716VA/WUkYrkWl3BWLSrKo
SNA9KF/BsQ8QZSRR9YdC79kNXYYAUnRxrJPvRtSOYy8mGZ0gj5yDAbB5wCwkfv0KCM1d2gpQ+vv3
vr+ka0La3WYEkqm9+v4dIl2dA75TLl5Z4/dp4RUsh0iatP+sebH1qMvXTIblktA7cRrCq07FR/A7
NIO4mTTtmM5M4bM9PCSq1U6qcA4lMUeLxhpyoms644LmxV+alcDaff0UZ/7JooEZNJ7ZrB5085KT
8HVsZ6Q7Q59XwWTA1uc+WnZEKMOPekZXRvDLOXNQRclsfC060kDqzncQ3DIgUAzKeI6ZBvmLXMSu
uPwJX/gdiPlzgYfxt8zD67ZOtp5HOTUni0dX1F+zr3KQstmuZLdVRVuSOra67qo4F/Cwld6loxp2
YemsJT2x6HbC0+v/5fvbhqebwqM6W7++vj+FYfqTbU4okLpt645gx81JugyTLILwXR8M+yYJF4tO
xPvQmDf/+ff+W8bkrx/dFShmcXLppKr+9Vsz/Gt2MpfdNp/YE68LY9v5lzGfDFKXpmC29a0eE9jz
/V1/R5f+P/b1v8O+rGs1xZ8O0H8Avx6ucNR/Cd5klSflX0p9fv+rfwBg3m+4OLgxCFjNv7b6WL+R
yu0Jmzgjz/sFjf3R6uP8RowoudTY+Ykr56v+hX9Z10Z3T0eV5AhUuVdo7A8E8C9H89/I5p8vKNP6
ewi27QN7oTlw+UcFPWZ/P6V5UGYlW0iF5UtFGwOpBLm13YUx1wvc8fk6ItwzLMP0j32/jG2DJK3p
0M9FuOjI/d3csmpVV7lUcXKbc+gChfuzz41YM/ZWFY1Lm5qVVTidJlnjDND99zS93sVnxn2BUY8t
gLiVJGHxGsRYLaOTV+Tpg5/pK12W1iPLurcsRktbG0iSl6NQ+BQya0PAdkVYlUdwN/MmrjW0la1B
UKPuorJxUK5tzYpBrCYezi0j54AeeSHsBuOJYawMXiikQ1ytfBpad7D/e2+EKJL60AQWOQ+bsibT
cbL9dagi1BmDOLU2cvu2zh9cI5ekH1hiiySNAMS+WjaJUR90gsMwpnm7gkSXDYaGR+xO5OPmqTxq
zqYbvYTbOKnrkz+0r0jZQWqktYlSitu0PLFPIWqxRcj5shdD+SEzkkhKpsBlz1Ny02YdEl5jxKlG
GCwWjfYKpB2nXoufVF5u05TAONx91oYcnp3JWUXohWtQGG79lG1CPiMrz86Idi4eh4vfwL9U2M8I
IrKhUWJqfsdw27Ee7A27j4JwVUB3v8HT4M19dHwHck5DbJaGw72lgxbNOa4DoeceMqdFBBWw9EVx
T7oI3kattW8JQC12rU+7YRaHdhBGLlF1nYZmZ8r3caaSE4jOuNL9+pFIPrW2uqlZzknsHHPMIouY
YqSuD48hHrHFEA6kL8dUm7PUnXEFPgMBNEdduk9giCqwnKxbTqHu3hN4v6SFoQrCppt2ohJDwEOS
7pOBABXBeDhjQHkKiUNThFbuTBndI3m01g0xAl7D1M0z+k4PRXiw0E0Ho4kFcorFTEoDUN+onLNk
eL/nDV1q6LfQOmAUuGqUW19XUP/xDHaYkiSOJH6RZRVJNEg915H8MPhxFyY5HXc2cgfEB691YdRv
U2Clxzzsy7PWE8xnoyxGk0mCYJw42yGdnC1BNKSHuPmtCx1LeGxNXlGE65H8ppsidjWkAxcR6TVR
dcW9V5JE1KkHEonm/SRxAMZRfKgNcfQhn2h3RZvXuJZ7Dut2y7QeIWKMtjCN8kgMDmZcUiF28Wzs
0hy7OSAeeUVQBwvXwV5FNPCZcYrQeJ8skvkj1ap57yZ6ywlUPAhM7WaeTGc0Fx9FR1a2CfrPccX1
iDChRJDKasK4mCyMhOzuBs6NlE187HU5bDVDNw5mSODJD3cCxksk4XnhskBbuuFAxQNo5ZR6R8hd
VMEGuxirg7/PZPaIl4VFzvdR9pe3+nf3tNXdjiA2tyQuIV0Vh0qMKWpDClKIkdVXdmrio/X8la+1
1L/HpFg6FQXzY91tsh6veTua8nZgoPJVs/aRwVyk+VSi0yw8stRK3UhOUeSyHPhmMBqaexdW4sIt
yL0bhu4LIW29cEv42qQqkPgXkzjqlKqjArBWftcxP+q22KSNLAMvq4gFFs1pjBL3WCk/3OSehk+P
vMAFWnPtBgHNfVE3jNuJiNEQTWUwEFqw0tLGWk5Aabw/5g+DqFLkiZm/0ePuA/QU11NkbrQoz7Yw
gOVC2fLT7aZ8NQ6Zgbhci2n/IUB3OQH2HAapkSkQmmvcoYqYJvzupaC6mYIZVuZIu5vpEloxGfar
2PK+bD98QoFF/qhBDDtad3tTPU9ah+bFwwufNmHI6x5veWvR/EzFfVN+FriwHuX/ZO88tiNHtmT7
ReiGcAcc09CCwSCDmhMsMsmE1tq//m1U36cHvXrek5oUk8kMQvixY7att6DTCBRxX6JfJD0RkXxl
pbixYFJ1YTIcG8ztW1qG4ApJpsxhyKbVyEsgUh3Jzfk3qIp43y7bjYbE0q5r6zccDOk6HhrcR3yN
X5AnS5uFYUz0Hq3ypfBMuH5T5wFiCu4iC1/SaBZ/tKpPfblwCIrxT26BYLbT7tg3ybD1ZiSPMsu2
/2iaeWbtLZPoae8sQfYa9dwiB0iaZmfPMTdlZL5W89SuicgMKwh0SNyOXe/40Q+THx1rlXp3QhgT
KLvIgJd0nBrXPPVeyetB8+BwGon9lMALj/kJZVvk87Y13kQcvsxgvrcSU8yROh+YqOM3EdMJKU2R
MHTb/Ojo+sMO9beKsuCxaY7uRLSnnVnxp/JRmSJ+CGPL2vgdw74ArLWZlzR+K+LHJsK6CWK52DW5
E256bWyLVFycgLDIUHg+EjDZ0cbBiwAG5pRZrFp9Qb5YZzkgb/OiBqmvnZcAvK0K86CK5Ftr8GWj
JY2VFluDJ92+NLFeefWMJiCLe2QP8ho526MQc/k2p6ePhDbNQrJI5HaO5g6oZo3JVMwHf/Gtagev
budGB7uLcbwXcbFsgr7wpK5x+yZHrVNybq5eIhpsRyIusKy2ecB6rX8sqwfXTcKXiUofmhy2Ogo1
lariZ/a86KITTPuZI3n4dH/nXBEMabF65O+WN1a3fAjfqFn/A4ow3OqOayafY1J9kswxexkDMlC8
9wPDOFl986HA9B0oMwSEVEE1C0inwqf13L3v6fzJsrtjGhhE+nl+72oZ2A8B/wCnUdYjrOctHM74
fU6PCRLigUqXdGsTgkNFmoKTBBX+hifuScXTY1tY0fuA7Z1sPziOpJfPKjBeeCyRD466N88KfyIx
tGs3xSrqxT30KU4weNNL85CC4SRb0mdPIsborjIA8LXJM8/EukRYvg3eJ3f+BDjX3Vu0n258TJih
LWDZh2ozeiOCv2vdqzo2z1E0UpDldt6XjNR7UAVfEc6/oyly8Vz0LJHKMPMwR2vxPHjN2yBIZiOJ
DDul6vAmya5TPR/lBz1n1raLEbkrb0pPvZxu5OuGC1aEgtCiUR3I0YQEtH5JPIwrifj5lAawuAdl
Wcegd+QVIQ+blSjdHRFxfON1dKzSUbBZSXg0ZnejPf9GyrzzIq86QqdhzWBSDFuz5UKJmNeEaoJ9
M1vFySAf6819d+cWt3SRzMlinHx64Z/9jouY9PPwZyrddeXWtxhVZF0HpDGrGVZlWT7xUZl48OKK
jJCD2SrQ+Z2TNeEZWNIXhbS4/GuFAS+WRLaseiOnOHp2k4flnDXkesmRuXsvoiDLz+sX3r07twnT
o1fH/aY35a2v2gdgWkHZqE8VCKhylvaftNeiCNFsf4k5rvKshoCREecgw/tr8/Jfi640oOw5emMs
F07aUKuTlqGxMjyMb7Jw/iYtq18sw+4hL0x2PpyS2jcxyubH6f2PwK7idzMK2HHPFS840rBUkY07
JyIcF5avk6LhpQgrbK8wp7ZtnpSER0F5BA+FA1TXG6ffsIKkKyL9MbesNTz53foFDldnOM5kUHke
8QRhKcMSrb5zRxVfLS7LFajPbu+O73K0wAZITqXl2q+2YPoatm/8Hr02dq9qEGeIPMbWNP46QY8W
r4oeFlwC7dCdRpQ9FyKClwrgfKTjM3uEAaiD+AGgZx7GxqvqxYlzXEQ+qjKvZWBER2tMfypFCKsd
LVhmwfRWl+22rgCW+rP2P1KMMkHNj594nnnAY7UCzfQaKNWtPdP+OxKUXip6u4236JeoA8WOMeHH
IcGYunZ/LvAYYWoDFmHb8es/eCZGD70yy4GKkeXP/PMH/5E7WUiwu8n5Wk7oT9VotBtdplig92WS
6XNrRq+FWZLyHKYfJeN+CzOVrTQmt9WoQOeaBiy3yhlOfRiO//Efns/HyKwejc42N2Wmk1MUH5XH
FWcn7n1pDVBI4+Yy2X24DWiPW4l+Gk///Gf04+kUD+OHVcIkEDGmI8cEDSp9mF9zsx3ccjyxwvcR
+Amp6VBjDJ1DvSFowOK0QTk7IWoRZavYatRV8mbNOt31Xc0qw4v3lpyKdZSGAlsekhtB63Po9S37
G9byvaxd8ND9TFMbpIaRsyWtViydQMV/d/VkbPM+wbeX6ZgQV8cyGE5Gqyg8cnS4C21WrvnsDZtu
jh5J+YN8DHt15HhC8u5WDvCVom83HdK77icafDb1ZXLNZS/RdQluBlZ7LqcsPAaGFHcTOc0iXkKF
mJHDSkQXRMloR8feQUuVXJXH5iuJkm2YJ95KKc+/DDp7LaOyXhHIiG/pmO0t0s5Dz8K0pRbzRpxr
X8n6l0yO+WQkJKrHxGC/WrA4oe5l3sR6+DBGI4fUis8rDdV7YcNzKbtR7AEu9yO3JPjL6JSQM+9G
p3vSie+zGlEfyVQeiBBEB7PI3vvM+xCJu0fpv/PG6DuS8EbhNr4Z+L/wo9Qd0mxQsz63E15aQ6Cv
PeTwLvV32gSYMeKjI5nkALAJTmp5skXmvPLN4chgck6L5MRmKovlKsjBZpOOF9Kc9yNTcRMNw6GY
IJf0Bu7dWQWngHfWCsALx11mwBV7QPfQ1xWYP9fYhZOJhj95p0DeDfkoANPVXwP7OSR+eTNaNrdA
5RbbS56e4+g1HdWXOzkP3LsPBPPeAkwP9M/nJ2sy76mZ6WFDXf/5RqWerEPNSrwOmhMZTV4cFW3w
AeWR0tNvdpjb56DkPo4axVg4dAHoDlJBcrn8+jQfmYKQDxYOH7YE+xg0JndpPu8Jvx5gBLknwr4w
9FLjOozTupPQj4DjYn7OyfGGNv+mdljU9MweNrGv2g1ogycePI8YGznj5Bwi88COATQyjmydUcPv
yq+xSBugVySBrxVwM9y1lNH3C+C2kSGoju7H6Bl6G9/riWrC9cNuia9wVgRcvYlk7kQ4cvkgc8Pq
mXrUM5OVPAmCq+C6tDz5Ue/sAVqdK6zmaxDR2dq0DCLTyzONDdqT0PlH5nZXu48JQI/jvGFNhvDa
qGerLvND4XvjDoxBtwqi8A+noYZzfRivRCT3NA29jFPgbHyaEslTJFZ/s8i5b1Oq6lYQx0hwZvcm
nswtEc9kzev11XTnCCxadAm97CdXmbUigyB2hkmDIGdlO8165oOIZZhIK3rgp70gT70yzeDFG6Ed
99b8OxYfbT3lTzbwL+2/5nCPd3aKT2GAgZr2y4JkXsDy0TXH4Lui6mfcsMsDGNyCZpusBavxbdXW
oYg4MuHw2Hd0RSah9dlbmxZI1FH05keHBngqFbTUWXurrsfaXsIOD9oQiDFBbQxYPooEudhu37Wz
3IbkbCFr1ROr5d8KW/jlvp99/9NGKVNwa/u8340oY6EKzyxjoXgsoYYa1GGJk5c9fyg2YQd7NXVG
WrgjzMtmYmPqJHgek7e3Oeqvu6YNt2YGsmloq1MptmSjV2JRkWdp/YwT3tGMbDEwIlZCoe2eAyP0
aJNQw7Z0rPo68lWJLF/MqoOqSYlmnUu9aadSAmWE6p9ha94aIoyuXpuzrnfolh56u98EJMNYqIJv
AoHQrnwm4JrLGqsdJfY6e0gLiEVT+Vsz62KwCg+xNyi2ytO1eomWWNpE21TUvPoGa9Qsyh5an+R4
C5YiYs1qSvZRuU73eJ1foo4HWokUou177mtKFqtTPuW/VcflYEMYEDg21rIZL5GBIyYP0s1kz7iQ
Z8hiVfFFRcK6rt2nGs/XmtzoBtwzphFhAnkWC2FpOgwObznfIYrCu2SVM8Z5rgSvBTbXk7wXSs4s
NHqXzB+x+FFJ9INu6EfJ00Qb0TZ1HH5BzXvqph+ju1gkj6LhN2fV1U54/R7Y5WMU8g9uhuyrBCQ+
TDQzYjgnlLCE+4yj1wWH0Cx+VFMfp3IqtlknTwF8KDOJiq3gpLzKTfbgQ2ce4c9DWeuzs5kYDxVe
e9SeK3Gb53ionlTEZosnPAUJfAqte+Me6UIyo/Hw69qQR1rLfQuH6b50+XCQKJqkuiEwnWD1fscB
XaULXK5Kk5MJQpAjAFcNYOGAoJFV5wCKkVYd4Tw0nduu/Ykn7iAiTq1v2m/+6FH8Jrp9yYW71fDz
EjW+giA9+MX0J4b8B+Rrvhix821M9ZMe86Wu8GcwrZunR0Bzw5FY18eQLej/Ev2IsPWm77OvyYDO
5o/TjwXNNbA7bh9+Dwwq98JGNmVMOPqxW64IZLw4rjzOVXoMY3odMMo1VYfZQz6PTAFjmbDwso8Z
xI12EGsHJ4OOjD00yE3klaiu8kDNGix7kBBc3HA8QE07PyryN6ijsBm9GIBHR2TNLfkZg/bmMYWY
A56KThk1VKuWDvDqGxn4ITqK/KdcjDVNc3FwVPDMAs2lYQ6vMzFfyq7+7mxxDuR8LEewx8lUvE4y
LBmkfHySnMs6E92zzH5ncaQFgSs8W6YblR9mAXpC/TTB+CEGyJqkdVi2FmrrVsW11tXZcB4yse2M
+rXg316m3YPPNRWqdV6zT6XVtibGS8IF6CPVeCLEEt856Lj20IOWIUvkel65mgS4ZLyFmEx7ztaR
NJ6KaMGmJOI1dWB5U1Ah0T9K/rhGg+4Kw0IMnf5WImWMSv2XxhAzDaD6I1L0+MjAgTGemGzdUVvI
UfxtC6J30pu5Pf0jEYKt3VHSBI/DvNTlLyEMdsbVNmZBvi96ZRzc/lZrMA3kVyM0DmBapPMFvYiv
sr/he8R4ArD3SIXOJSAJzlSe7TIdFBBj4mtOHIObzeQzAZSDr5cbVEJ0dEjVNAM8IisaGsAu03eY
Rp+wlTFoUHKDDRBzDaKKtdgD5+ZEMrIHBM0R5iCqetgPJjEPCu02SQ7iyGiQpUTFXWcsZcomwW3t
88ZTLTNmE/Ul5IMeqSoo5zuD28rOarWJ8xpNFo5p61XiKPBlkcjoOXjm7QJV/gItNZLarZegLx5A
Lv2VnKB8Y4mG7o595G5K986ksCeS5nYkOJzcO+Wx4gzUx6t+kC+hxac84vu1vorsT70EYlTEhqAh
9GQT3Tq3s2WttSfHYwIEfJeF2HiMrNlZ/dCsCFByxrDQJR2xjQpOWng+nF1rxzedUKth+KI74rkD
xBIPTOqhsYVSG+HQqQ7N0PT38qr7P2YFOnfUJVRvns9CRtbONqBajMPwPNumvzKMm65AfrQekoTp
kfePkoTNs78sdkiIwzsmy06BCu9FcbCn3mD3To8p0RowaEHxOqPC0Tf5XPkZPo8kfku7BvVpFNeB
h5Zv1fY+dv0HbMDP5OCocVEkud2GoEscArzpBnmr2qQ5zpFgbEmH7yYirI0NYCXakOdOiK5a2tiU
2/ZJZR0M4M73NoA9MJwxTB67uYDGhwK0ojOKFBRC/a7R3J3KxwQOmIGziBP5D6Qed9LitDaHNVcK
pbONT81X2FHW3hWcUZT6WyQ+kB6eVeQxiu1QuwegD/M2Tt6a2ageROiCtuIy7Ipw22dxuzVzHB2E
yGLffOWAS+VAtdReo4lwAsn+9KVhY8l4CVOvPqY+QxhkSedqhvqzlbnLdQ0PbFioG1n9gs203TmS
Uk0oxAx5YwXSIfiqeuw+o0WTweCAyavmbG9nfNt0YN6uh1fU/n4z9r9JO58mJ/8Zu2HT2lDkteF+
CLe46jDcumW1rwesxcmg34s2JXnoF0+Txw8FF8krefKg6jdy5Dz8aXvjkyqQMHxrNLeVRFCgJmNt
wMDdMVXUkHxyGiABS4x81KGbcOQycaHFO8oLsoM1tQcL598mNQyaW1ioz8G6bZ4CJJ144sHtJQxw
pg18YgwejcB7ap3gyrEA6R/nNDJmilWcbtwlykXWllkzYRmWIigop7/NlFpjuERLh8X0FfHFqQj/
5vMPxquLZ0IZtyrWfk5c3QClWETnZCj2+ZzcV3nz2YwdV2z2ITnuutN0F0dAkmgcqYxqRgzziC05
w0O6zAaO3nKcuXT5mzuxOYxSHHKQbH51NjCm5EwpyF3OPjX7R3sa39gubnOKaBvbOxl+/1fzkQxS
/KqJmKJZ8V1GWrO49mLny8F+b6f5T25tptB/LGd3WlsUqHv+eEfzNdtXzND54D42ki6pNl37YQr2
KQQa3n62WIRJzrxyyhO7mPKDfvIuhovbE4i+D7gsex767r3CB758r0aml6IUZ06s+855r/HXsbFg
2JpOFu/WWIz7IC7OYX6tveLdt+eH0XRvPq7WLti7eni3be+O36RP/Z09UxydEM4Fwi5inj4OFFZr
b/OIXE2cTJoS5woPqYYKTzQEIIelZtSp5otT8aiMc+tJzfo5bov3CaGjc6DYe8Nd7lbEIEtKYJ75
1DbcpeQNmi2IK7bk/lWO/XX5ffUGgm6eXPkr7810DY7uMejaz7FC1dIJuBd3yX5M4wr/nsZdewgI
zDozeWQ7g1Pd5LwZKQ1ZV85C85/rRzfr32B58HG3vAHsGy6VlQFrKHH1g5s02waeHevsj0Q67apM
6sfWfyws976mUrFR886Nsn3BsRh7tnyNe3vnSvMU9MWlbnrs0anxPNE0zyf3mCQoVYbns6yhbGyf
ZcnrZEw/bBXXGXQz4h/hg9OnN1MBJqyy4TB1zVnQjLhqDQFZNxCrahDXGgxX0kc/ZcbCNarh2k7x
K9oz/iKSy7gpOzzBJm1L9wEsXqM9Z9SHgA5CtB6Sg+mH8KNsWCLU/erNyONR9A8hMbKOa8Sw5kss
rH2cREcols92wsHbcHa6m/dpWx2CwNjJtCETzNalAtFQTWyVrE2ggnCVyf4pQASG6bbisbsnXMbe
xjfvqAHbkpd6Wi58Csq+SsrPUt5p5XBPbprebEhFjveegexvDP8+S+W27dQLi/b3EX92IqczEzaP
qxpX/6jgCM5/AeKEvKzbx5lbfmURIsbCOhrr0SrOHD3uatzENv2XeQupWATPNupDxfkFL9s9Fa/3
IBS+WF9/tJM6WAmuUOLpe2/8U5BNKVh7CsJvizHM4ImqOuNbW+1Pn4uX2VYvbYTujhjxU3Tu85y6
W8Owj25Xv7LH/NScFfvg05QBIOf2b1pHL0WR7lJJVNEsjmOu1+nMonXBRhXJ1Rz2Rlk/u1G/YUkF
Vjz7tk32wK7zVITxNpb9H2SYg+42c59+NYZ5a7L2I+euN4A+4yF+x2n/MXYG9nHh4DH3DjDMHjQr
WKdk9x3aza5OeQHl2Gpzn9aBZMM75qjc8MV2LKgUYN+U+uFnXdV4vqO2we/3YrJJc3l/1lb+kEzP
7Jd+g1nd16F9T3vxJ6QM0kTJIYugu+npXuHmdozioh1xBub6Gy8I43Q4S6N/d7ip8Mme8GPmm5id
aWo+Zm38UeQ2LBCAtFQsIkKimjvtmzQkCB+44IiNlVdT8l3dR55/cAaWKWY3Xh1dXUe7OXXauTdy
C/mZ96UKiRqnMITote+mp4Z3ykqzESmtDIuz3nYllzZPT9jvqxnmT5CT26yYn26FHGlaW4e0Fqzd
vjtTVsb0hXM3O8GLv8qZOrZBYn7xizkCgq0OgZ0/BOGDFQBHqzDCx+hXS0UHUkkLeTIoEK1oQgly
Z8Y9AaWsaQjdX8WQHfyueLaE2g4O7YildKBj1dvOpIGoA77uPYGYOMrZwZyAwh/a7xKk5z6fkIDo
jfXcRY2B1rmSDXAwcUlm+8E36m9ngqLbVHsgG3cBW9RW6/s8bT8B3t5IYPpRBEPT895m9UlN23GS
05/SqNikWPZ916a3gCTE9IIf+mvsd0PT3o1t+x6J+QM/I4wd/zVS3HKFWGWi7f7MdnwRqOCsRfaV
uSSqbY5TTlMeoWRvYoMyHM/LWY2x2cAXQy70PFJOE+cso8FXJJHeBylnJJ4YW9fh1zRWZOwmF1qA
Ednb3ip2NccseumeLGMON4NnvbDduvgFoejQOzHjHGKRvYqB2562GL67pj1rWlVOeyishssP4UmK
B868vzP/P7DU1vfnHWBrtyaQSpIudB4n8rbt2Dy5YPt8jhFsB5DL6XpdUtnJQgmDQtVJf+ta4u/y
94JrfsRce6Z79BJZ6MKNjVVn+QtzYT15uYzpMwHhG/Y3eLInxo5DEMUvdm7vuqF89daNpS/SgmIO
gYQ5JAIlJ9UZKnO7Xr5oyuu33gsZ9+JfG2IkEEv3ubSrxz7aYdl3xk1WAuzFUiJ6vUlpDCX4RXjB
kTdTa97kxL8Z4FZBmaAMTy1rRP0KB2Cf0OZQGe2+jdXaFYgiBm1CbOWpjSPAQ/wtpTrTyssV2NkN
3N5D4w1XitmQCcljjO11NrwLXLYjCV8yHM5xqcNDxJ6fBx1TATAf8JtfRfwRLlLmWP4mo/pGbT26
BTvQyFy5ofdd+y+saA5hkP0GQl0oZqBgxK2Pymy/dODegjzZjn10VAUKTu/QscQqZwkGzZpHZJWn
eyS8NaSZz4Jt2kayIc+y8mSlIx8lHvEtDSTUkhUebd2sVQkt5VgXsA2wgSogE6EATLn9sTwyw3Z6
d/MatHNOKww5Ald1ztpPzPqUlgcfvFqAa+IigWV1nCdOhfEfZbf/bf/8T6LPlm2aZI7//X9aK/8/
+ycx7iaM/y/f57/+zL98n8r8NyVMi6WXafOcFA4Wzn8Fn5X8N9f0BQgFgK+uZyn+1/8yfv5vo6e5
2EOF60tJKSRW0P+Sz9Oz/1//sL8krPluJk8BYUt3CUL/n9ZlG/EnKFV2ABX4y9mQoFa/MnX915fu
aTLsbtX76Qsqw51J99e8lIApOIenTFuX+R+AL2NEqKBi54uskC01Yso2w8NoEKFjFtwGjW+vrJba
MZamj6o37tVIWicsCf9XdJQtQ9eGzNevpr3MdA3/nDhDvMsi8gFlImjFoOwMk+WwsiYK0KalCq2h
E81ZytGynJq0cSlM00t1msMYkdvvI/JbJ7HutSRKVm4pHyoD71+fSsylTnsxcvYezVLOxp8kA5Yk
GH9wk1FjTH4xtX+AqSHKaIeyvENkxuxNUvue6eMTGbLgG4INASe9mxPzC6XrIcCot2qX7jg65GbN
IjldauWqUkEiwu1FQHHtMYmreRwBl0hOpxxHNkkUPYGAeawD/D7KZwHYxOqPT5cdlpVoay71dh2T
/2qoYQnKhO67pQRPVi/9Uoqn03O5lOQJfCX5UpunlwK9rILDAiJTMGz144bujEcDaL+gdy+hfy+W
jHo5Ww4oGjGKOGt7ZsKlso+lKbvplT1nj6kLBFTX1GpZesNn9WDS+YeWmSxtMyd3qQOk037YolRT
qmRSFliDAe8byjR4x1McRTHGvFQLUu/yAwL2vqFz0B4Cjs6n0gTQb4Pa0PKPT0NhVhRvRai4Htx9
2Ms/KW+QtdFVV0okNoFuHjy6DgM6Dyt2kTFJ/I271CFSbU2IjOmdUMmjXioTk1zdxk58GL0J2bjc
O+IOTfCnotEEb8sbsai72da0m3nq4LYOrFnaGfOWlkaDusaaGGswN3uDwpqOPkflRYJLIb3ZND0G
g78XQLGGmmZBhy7Ikk7IrhAJ0yI0eljpy0t83ipFhWS3lEmqoT2yQ2I9Q8+kXPoAzfmPIxEmGeyn
yPS3NLSvLOA6tGvwqWcYX3ee1V3aSlSYH7hlgjG7VArhGSCHtcsLeIYt/piVKucb++N8F7dBdOnN
5ChSNoRspFSH14gHS/441gSwlkxXPD1PAxRLI8FQ2kILhU8XHMmCveuOPgM1436e6DiqeaurxBBn
ZU+XgZ3GOjZwHCSsqLRHEMgJGUmhKXPqj2y4zD3DEr/MmpTLvu17f2v2XL5z0D63ipdgFNXzpujH
T4sAdViwxqt5o3Gy8yK3vLSp+VkYoX8ECvySTA4DGjv3xgECOGp9lxjxXVly7U5k5Pd4tz9Yuufo
U81d0Yl51wbY3IxxXndCXMuU/hdvZEvISoHhjqrJgKfUjoj6I9lv82D9GJghj10ayo1lT+6qJ3rF
+Ar2m7nnXJCjBfHPLFgkI/XIw8AGuSbMWAcHAx87yjn6iGUZG7MH52CTQ1yLlDU0cBn9TG6Vyyj6
RhLGg8dqgoVqenVNDiUsgE+NJ6tHzxpq/h+laglYYxjABjuKoN653ntq+Na9rGhLAxcNdUzesaz9
03Yp7bml/To2scumkA826muqQ0K6+bgrfLzxwJQV/Sy7HMlzzpFF+wEXVBcqPDZ29ZH1ntwJQ6A2
g/ltCBrr6Q8L2vgZ8XeDT4ZO43HIocZ35gF0Qb2VilLMNvfu/gkOu4BwgQVj+TTSs+GdB0Lju1yD
TWeuqC2XnuzBvyTd4PGnbZKqCZji0RRrYOFQEVP3Fb+wt8l50AwL4ri1093URc2tDK1jSCfH1qwy
ZKjRzYjwemcs6EjGVVRf3cY6tGHxAsWfKJ9PzTHu/3M5o2xE8ScvUDokdXCLMXfYljc9mvBBI+34
29SdmrtRtNTqaZqMIFbkr10BRdecLgm9uFdL8UJRfvAnTwz+/ibdKKLoUNq+jYR12dAClXRlI9cY
yF7sNnnNaejctUV8BiEEtyJGovexOGxzxh3FZWC7A8Mw9DrfkdZBki7aQCSwt61U/s6e+7OaQprR
gqCDd4mKFkcfBh6+B+zKp2g2xc4f6h6ZQeV7TnQfkdeX95YXvg54HbHTeCsA7zOlwypaS0vFm842
blKTJGpC82r59S0a436N13N8F3ar78mT3YZSFqep40e1osBiaEJttNRS0NrG+qU0sHHV+XSmBpiW
oanO95WvN2WiWTpQVPseVdaFF1p7IJcfn+bqoSh1tgXjah2MOmjPLmyldqlkQFkkEToU7TUqj3ZQ
pDxJ8RgX9FtnifxizRvT7ghgzOmaD0mt10JjIq498/sr5vGuD9voSgnMvR1WDLcS5GIry2/eNe6b
9haN4jnrhukMdLYgC+k/DQUHYFs1b6nO/gwOoCOqjLwN19JBK71z8VdSZUB6PsdMYno/bcnMKlz3
PYlsqj6r5H70zeo0ntxOD/vI8amiEkbKWVowMc36XPV4KYzhxnYCUG/mX9mHDhvHn5I94n9+Ismy
yfI+vQe4eAEI4kM9EjYnkfneXCCOlBwYzyY3NPSi7gP/V7oT5IX3DTu0Dd1yDh8saU+hJYI0DdEY
GSIKZVKHopyKGiHCuP4mZ6FwQrVii9cd5wT8/tSMe7c09gFX1bHRvAMHMiH3bpYd6oEgO0pzRbUR
HGCE7ykGokA994L6Tsvqw/Sz/t5e/jOb9ZeCv2FR/1SVBB3ttNpKbtoqx6DniiZa2w0BTzNoGWuo
PNk1Jfb50renta5yHHhW8pliFFxrt1zeS7S7T6pnV+cj4zpp1ICKQkUKNE9L0zT3/Buit7B57VnV
dZ+k44AU+Cg6jVc/h57t3xIqXSMHd3Pj5fuy5CBhR1a4bSC2rCmP7w6VG6ZXQvez69EiUIQc5Cb8
8wFHEdOEsDgkwB7myTjRQ3KxRKXXjYfamJbeVxTChrWi5XecZhUh/Ke4wY4TUrsmbDom7JBL0zMr
i7Vn9stxyD91YQ0pNlVEvRs+DJ1YvDS1/Ya6M2w7R3YbxzD6XddxqwibSDwSZVfJI474k1nUw18b
1c3yDkNbRO8in6y9m8eL2qk5Y5VkG4JgoPhSDuy2NYUUseCcbQcACXq7asiMtn8S5YSYjdh7sZve
jfl8iJkN616Ol2y8V5Y7n2kfUY/LJQM0UD5Ow22sIY3XOm02hkvFl8tuY0uPCXFgovyijzE52Tje
5yG79Q4ZqYjTLbuO8DJ5HPXtidV25WYMq55Bn1MZryLl7aq5KB6aItmkqn3En9c+sBIqr51iGWPB
j6CW4pkVxnNKUxQ7kwqmtUUSTETedLAyBxnMJ7xfZp2/hTbNboyfbe+6GD7a3vW4BKpv4PbpeXJp
Bxpjvkw6NumLKN1WhW1fffczx7mxCSo7O2CLwvjHxAsO/25mApbLKNwtQ3GyjMcpc7JaBmYaOQ0M
JpqUclCIbVXxKgBXfLLIG5TLyD0we0OmXFvLMK6ZykNCAcMypstlYPeL48TRxWCOLwC+psXw5Zbt
0VgG/X4OLiyofomUHOr6tbb8bw9fFwb1fW/bR9xl3wG6QYR+IOMPHzVhRlXQA+PGa+NLyny/hlgC
fuj2EzpELP0LZ9OrsegT6BR4Eq+kbA5NBKzII7HWoWg4HCJ6nCMK2bCZ2x2st32HAlKjhBi6QaPG
LYRCIlFKjEUyMRfxxERFsVBTBKqKs8gryvO+JXqLCru7qa2e+EI20kO0q1BmFAoNb9qOoN3vsEg3
2dy+BS2bjx4bOiiB81K6aHcK29JIS27RW5dqgxfxdfkiu0pflPQP01yeumS81SK4U4uMVKAnlehK
7SIwxYvUFKM5WWhPGRpUOasTV/bfHm0KAxi5MNjfi2gFCn89oGJVGUYULXaqqZ66Mnwbm8fQh2GL
9vU/2DuP5caBLF0/ESbgzRYgQS+KpPwGIVfw3uPp50tW93RHR1y3vxsWxJKhARN5fgu/YBB0LoGI
LSBjNQiZqT+2AjATf7AGQVNA0iYQtYn/NwTEloC11WBu4u8yUJP70Z5GMDkIZGrT9JvgREH6Cn8U
8J0tgDz5DumB7UlgfPlI4yH1VeIDcjJhVlG8r8w5PlhxvCuJjMBLVXhzFW9n8ENGj12oTQglBLS4
gDEaYI0LmGMuwMeSXLA7GAkqOdDs1RXK+wRaOYJaTtjjwTDbZniWcHqnV0sAnFB6/gziKYF8LvaH
Dg4KPw5DnCOoj6/k1n+0+vQgsbuOwU8jcFQdPLVqyy9tlh8HVYWmZsMC7GoLAFYFiS1AZGma0/AB
qW+0Np9MMFtEd7t8uGGuX/dscdjQr20B8Y5gvZVirY0iezLAgKNzJQDhBWRYEhCxJMBiqdgxkWVe
KAEjJwJQjgW0TFi9T/WLBOLcBpwplcr2UMYG0FlEXrSwYvneYE9pCdCaSe+ghwowNuXXgNrSdQDh
lkC6617dmyDfIUtEDxIegYhXIOOkwF9JseTFADPP7fnJRluP+ntvpr2fdEjeeqJwik4kYp7lej7D
auakhkvbzq4fatB5hTHMBK03Qe2BBl4HUHzJVAloNoD1dW2PMuO9B+8no8cS8D9xDPvE0K8mvEAL
P8Ai5A1D+yvDG+jwBw48Apb7B57pUecqPRmihCn/mC3QfvgHAx4inZ4aWIkaMqdt1X24PHdyu2ng
LtjfuTpcBuFEKw1uw4HjkOA6YjgPB+6j7DnTBrzdE+XkecArwDU1gy1pwPVDws7DIrW9AOh7gFcR
S2YBz9LCt7TwLqYdfcrdyoSNSWBlqJ1b4/695WV7mMfyS6adBbPWqhnaJ1SPUZqdMfn7shWgYWDc
yvOdjT2ohAtiYMTo3v5R4IhMwRXVrgNzZMEghSxwC4xSCbPUwDB1gmpa4JwGuCdayX4cuKiwm/eF
RRB1gNAcriqhpsocv0WSjiyoLHGyhEbyXsJxdTabt0inaYkg3Tx6MwL8OFBiGtxYA0c21eFJL+lc
F+TZNDoNbdp87GeYtVJQbMr8RxWUmwX3VggSLoWNA8lfVbBzHSxdLtg6WLuJzURRkVcEm8eahnlp
eEBCua6y9x7Or+A9CZz01pfRmsrq4yzIwQCWsIctlGANc9hDFozQDSUF9+K0duAX8Ro8mvCNeR5t
Wq3eyvCQCYOFBi9J8cAtgadM4CtDdT718JcRPKbRP06wmtQQV3CcVsJIpEpiWdxaQ72O0hoMAVZU
0j+sB4DGsy0IU8AxhFKCRJ3jl1iQqpWgV1N41ga+FTbxHAsCloF3ZQhKdma3VMPRKoKs1WFta1bX
XNC4BnwuepgfHNcvlSB6QwIXaVOB/KWCaRZkcA0r3HDZhCWqTnOj7mtZ80vFelkqzuq5oqYnlv0G
hrmEae6cSwXvnMKPkaeP6FY0rMFMpzDUCwl7d83tLF9HB9BJq/3YbF6dqbzUguI24LpbQXpjmqlQ
qEKEk82zDaUtiNzCRMzCATohC+p8EiQ6LRsfCqw65r8Fjr2Is3Pe5TsT7l2BfytEiKmRE2OB/yNl
NJrw3KTPOsx9AYOPEeDYw+iTiuIlMPwYO54SGH9dUP/1fKqEFGCk8QtTdxK7uRAzoReY0Q3kYqNX
BzgwGAOxzSBQc010BipJzsA5lDp6GiqEOu/eUFxME60Wk341tPGxQbMQ5WcJBUOCkkFl+pNRNswo
HBqUDr32pqB7KNE/tJwjGnoIzGL7JGreyBR8qhCj6xvYzNWAhgLo8YGObT72qCs6obJAbQFZCiEH
f4gMl+YVRFjmxRDyDPG7Cnk+RqAUhRBwYLq6qOYqt8qfhhSwRLuf+NRAbtk48a4gAxnRg8hMtGHQ
/2nRiRToRdKlXKvO/Joq42Xg2fVcKCCyJ3VY26hNQiE7mVWFEN/ltakLOn2WNSw3W5wBLx6CFQrg
Z7b4wnAWEjEwHcX7Vffl+2AOL47afeRt9tBh+6WGe9MLzSXKGCGRoSZB5XrcnIr5J0NDE6Ol6dDU
YCCIKQQQMhv0NoEQ3uhCghMIMQ57RKK2tVUkZDpYd9YQS+zoUfCEknUrUPTgzdvbQuKTCLGPhOqn
a24LuYRCCpShJFGFOEhFJZTe5UKx3wr5UCuERIaQFBVCXNSgMuKOkCJzH0BF1I31p0AIkhwhTWJA
vyU6KqrxzOTKhgkrim3Nl2zZWSibqOJguULr1AjRk1VWG9Lf1wZqKNLH3jshj5rQSc3opVKhm+p/
wxoZVTO8ZEJWpQmBVY3SahSSq0mIr2ohw8IifGgCcIXeptO1YapfWaGz0k2akpFrKtB9j2U7nErO
5X1mMKCnSJCteLD3ujG6EklfJ1BndnWoykbkZZbQmZUIzkqhPIOM/5MJLVqEKK0V6rRe6NQW1k9T
KNcMJGy60LJ1QtXmILSA8RVMPSO8nwr1myN0cL1QxE1I45gAXHs1CL2cI5RzChK6SWjpKK6K1gby
ul7o7FoEd0wEX4tQ4NVCi4d68ZoIdZ4ldHqaUOypQrunIOJLEPORaaaSE6c9msj8WjI9EHJLL7VQ
ALZIARckgTrSwEBoBA2hFtSEbjDqUBAmQksIgYdmRFXYNyM0jBEcKkJ5aApxXTq2L32aUYM9W69q
GdC3XkyYmGmP1803Q9LY/jDq0agZEY2F6lGvr6iDiHmqEpJahXQypBMrF2LKpmWeslWKovOqoSvG
JkSvbnmF4tkHZu8eEHJbzspBldkIeWaZfUMyfDbjA0yrR7PMcyPEnAWqzsLiLUTkKQu5JxU7TMgb
TchACQRhJyQ4HPKT+V7UooAGKQGeCEjDMvmMhKR0RltqCJFpJ+SmqRCeJihQNSFFDSV53QlxanKX
qQrBqiOkq0ESfBgj29MwpnNEahtjE1nMnBOnkpbSXlGaSKqHwYL0ngjLGcz8YJTpLeuzX3R+2ypz
Wt8xeXiEaXNRQyGNUhhrK5e7VxpOmABKvI3as4S6uBQy4xi9cSvO5EZIkDubBIxZocs5K234ebtz
p9AE3Cjol20oxBJi5kbImgMuT3kfrZhUCU0QdUCUT2pPk1K+RHR56Y8NCmkLpXSFYjpVOGUNIaJu
UVNTHPWz6BsTjbUpxNalkF0vOhXn2S/MPBVJ+JiEPHsWQu10Kl4qId2W0HD3aLkrNN1c4k6yEHkr
Qu6tNyNxty21dQqVaNq3snFU/XGxq68crTiSZjTxQj5OLhodZi36lJLkp46WACE1DytlwWVAbL+i
/YhaSV4fhOkVCnUEwKjVM5s6YtTrMip2HTU7ad+0VaXbHJX7BOmgSxJGC+tp0If3ADV8hCp+QR2v
o5KnLuo5ELJ5VVJ2XLJp3kFRPwppPYQhhmy09mjuGaugrlDhm6jxibyAKhICfRmlvoJi30a5P6Lg
H1HyyyN6i7m+hYn2pTbzKRGS/wDtvzwZ2xQvgIabvrcsovPaZxmvAN3y31L5qt0tBFx5W2Eq0Pkk
A0mjhhGGA87GCP8BT9ZVhCGhxplgcFVMhFUhwbNg4V1o8TAYeBkAQdwIbwMk16sJWugu5vQbRc0l
BvUb7SscCpbowJelJuZy0dzCKXtS8/6sBAE7j+hS4qowhL1ixGcBwjwwJWLBA68uCDZHGSeZe9qC
oULMZgc4/WPi20incM+UtLLQFDXO2PFJUE81To+Q/b2n4/0Y03EzDXRLEUDDGLGb8IhkeEWMoHuT
ZePcSU2/jvLsRuRiaiY/c/EbJgAaBftGvQNOx4Ni5cpJcsy1qmHAECYVrP0PjeI4PJF5S5fRpyIM
Le1sUXGOp7gSZhdzsG9tjEvYqj61iVHLkRf2MRkn3TKJk/MUjtQg0+VycGSFEP6q+qX1bT/DKTa4
bfQyusSd9e4MznNAH9dyt+WUJDPKI5uRpl3TkfdoCwtP3nQvYQ2lmGAvfaae6ZwIw4/TROiXM9EY
Vf6SI7ZTpuJxKJAxKx2srE4ecUcyJKgiRiJhKdLNNloR9kJdobihYH38e3T/UhJf/sd9//Hlf/zY
/Sf+/r643aSzBvWUi0498xYnpeLLKFYovR8sHKB5sXfKodgXcAVQzMu1SALsp5ld7FVxcz/6183/
xX0T5AkaLGAR3GrprhvCcj9Hi7lCFpCRd1BUe5sKgr839y8dy+p21vLcyP3QHWjILvd0HfML7Mki
GyZCoyYHFdHSsa0xl4iHq09YLISKsdhXuRWgAhOHZBSe0bhMfmDHLMoO0tD9/Yb23H8etQEnKwYd
LXO6jVyhgzF6Hu/9Yf49TMVfuX9dzcTqjEAWVtXg9aiNZj+FFPogdvvHzf2++5f3/7BsEghZLv/5
3604Ip4787hejF6p26UMZsmdVfGiT0MHoxlXexi0at/pKhc2eURhkEY1Yquq3t+P/nVzvy+XaokE
0y+7Gh4DafzJMmqZzaZc4WhPj3YIHGdp8dcCfUPiaIqHpqOGIh4p39G3KY5NNwd8y2SWOLsFq1LH
35QwAKZUbmzmnqwt60OlzPPKcaT1vLBMagaNQPnUNF6aKsGOaObzEFfzvtHnrdLgzzLn4SFtJrL3
DGvy6Cx6n4xqRV3olta9koQU41VGzL0fGAKSxSgfLAThntoOZLCUNJmFJqVVpDZjptYmW987/Tjj
8lyudjKi59eD7hCV4V6e668miertUAQps7WbtISotzg+HjodP00wmQdYBhRHjbUujWFnkVZJ4I/C
n1EJN5WIbnIxtSaEyZjYmEKLS5UttQ/lTAtuTsWKnqnyThrlizYq7cNgNCcFH/V+oXq7Umk9Yh/u
PtO4lJ1kCqLCotMeBlXTHuYu5NOvTftAMs+LVv2x8jRe8yP9Q26kq7zQT00cmxtO7Me4m+ydpWjB
MVWFlY3eTWn6UHAHeXal/rZql6MYZ/++QL4QrNxZ/JvYExE05cyrmjrAv1HDSu20n+NEeu6olcVZ
ahfMBkTR9/RFDs1C5xToYjLI6bozeVeMNmCLK2PMSdO8QNpp5Q+y9AS7NJ2MJWyIP86gVIDbikWZ
/EEhL4L53DplINInMFIcZsVVDWsLKKuej5jcbPmPBkSwQLGhEHYIqlYXvKE40FYzFya2quicU2FY
AAfI10olElHy+YEObHcunPkYi0cC9yTBzrG9UWRakgLL7jeTKKMq+6kjICFvuBI5RKAP6hvXO3kL
TPfEBgQTKG8ijBJKEwiVHE6O74oKziySQbT1/b6//33/H4yV1ID3JS/MYYmRehJ/itn+VXPsn95c
jmVOKRNW5JtO/kGiNw8B9YyJFDxPk0ck9qdZa7/E8D/NeXhKc0y8+DDHSXmKuzAnjkh5IS2ndiWn
+rDUEfhmAZWtl+u4DP0hz7SVLslHo2OnqJjjsYSA2aIcrutsX2nxsS3Y5yW130c40GKtIaKKxsBY
HgyvtIZXvVS3Q9q1q0xWK+pDKUiO6AYyA/apFARd65DM+jKOSAm2yZXQleHJ4VolTfZljEP4pHF+
rJW2AtDaM9662kQOkt0ZL0SRnewZE6eks01l8JTN9lHJkc4ozT7bQm2zLZmcdWAQjzAmLeUkWnXO
rVMHjTqgenYIYG7S+FbFwYoSdXb5Fm47rUg7F/D7e6zZhFm5/NFXdBgSroebSBtWknKwRZhzsGh/
DGY71M56TnzBdA1iVv4Zd39ihMS+sHdQzMeAwhzPMWJfUsvpMKaL7U358Nab2lVfrkvEaRM14SMe
/OxIcjUWoSnwiJ1xq4GKpThGoyo9YBaaWAhFBk9NjtIgvQYVzKsaFXC7CBAbY/kMAj5O6dBcbUUn
T+pK2j0rPnEpBeiwVTzPdFBKs3asUWevCQy8EIC0w0j8rSuP4xDNgORwFnimPwoUH2lpzv5sCdPU
9FtUpbNrYEgepSmyVlUPpSar6kGhD8cMq+0S4uI1mPPQgCTnZZGJ8xh5GbKZ8in1KCfsKFt110OE
TYXSu23nuGNJpLsykVatMeRoscJJWdL/U8kLOVUjxqGDxS5uFbdygdMhxa0/UUKo5fWvFepfFrU0
bg9XKfcamGTi3Ih7mbaRQexxUxjKoQ4/h0hRX3sDwMVo97llISzuJ4K6UqrspQcaD+BxUaDoTf2T
1QrL9LBHyftHUVj3ialig5g9OmzOBnVgMg7RikmxQoel7DYlA7QUpdi1uQJHxMeKrWSryYfZgLJT
rZissYaSq2YCicBy/ZkQmQW6WXDeUC4QOjDk4Y/dmsXBIieekQ8vSGhq5XkCTnDV2d5ahC9tmXYL
Iu6qZxRTX4Oe/Cb9j6YjPx7UOViZS7hl3dUfc16snOBblQxBf2Lihw+Ynu0qnleZM1tgZ13nf8pG
0fs18HJn6rTo1k7pdd10VqKpX9cm5CMZOtUqTTXU9J+RpC2+wUTJ232uQsV4Dwzlt46WMwp/lY75
xl6TkeQVMPRuEznyehllPtsdWKGpsm0G9IhmEvJS9IfEBweYUbSKMKhIJyQgaKdVvnB2mWF9yRg9
15JK6y9Fi+q6sWaRBvetDmTGSdnyJC1kS0VqtA8VerPKLt6EsnKLDPbMal5MHtqewbNoWSc4h/1b
VvxOUjq6bTIzDrOyAemap8RAolNSYmfrNKxVKN+cDGSsbXS4M7RfZCetLbX56GfZ2ZhVcwGWxUFg
K+TY0w5uRNcsDWJXg6lYO3J4hbPeggzZD6FFN3TbVfIuiaoFQXSfb52KjYttSJQqZiWdSkS2aFr/
x6yXl3wsBn63uTdM9dgHc/KS9WcSVX7CaXiq0R6wUWtWwygTqRvgXEqCR1AW26/DGvS5mz1WG30z
sDd2g1D5aiThWiIcn4HQ/C1BgF02pUTtkEwwyc4PKWyJN/TE2KWp/B3QhIpCpdrqhW67cSf6kjPg
iYCROsYo45NLmfLMvKajq2W2leAghb9FayGvs1NtBTGmHjDnkOlPNRxxkpJ9Is/JPs2ZtFJGcmfk
JSDNMo/TLcmpM1SxJm1lq6Xek+gltyvkkYwxsJqKN9FqKQYBck3C4QH0JdsYPTodmYabdV2nXxQW
SsSBBCZWTKRcw1JlhZ/jrlpZHY8+leIE6UFIV2H5OpF3dPh7j7h7acQUED0hdF+8Qu57LxDpIGZT
c6kKq3by+6Z+/fslmpNNoyvjdg5G3WfIhlwUm785hLHAXHQ/MgGRt7S4rWfaC/Zx5iDhvB8uDYBz
noW05hXKS7FYHcwh33K/oUeo9JOif+OrbiuPERoNOTu0IdKISBzFNqMLRTi7GTyVj2Cxk6ulOFRt
W65iyvsoclwY7TvTrFlUzGqt9rPuWga8sDUtH3MeFSxbdXFgcSfH3ErWvEHHimd/oHqnONRSMPpY
wV/vd6WRTaNKTsJT3Rl6uhvbPN7VkrE2W9XZ2mHrq5baHu43wxiQN1lh2rScnsj6Fo18Q19ZUCTy
fiQ9382AQVbZRAxWOCQECxmbkHdcmL2QYRV8Q5LkIx7EsDrQ21ce0JYQj8ESyHmdfylhIyLu0m0f
Y0Ok3Hdd5RNakVpkWslpe0DuKK/6BqlAHnP6GDJKvDic4oMWljGPMflmbOV8QEV6GBlPPLxqtZdQ
NJApE4CJaUFP6TMF0kpVHTq5R9FRqRtF04hkWkRq5lDJ9Qp0wQF57OsDTkx7U3bhsUvYHfV52BwK
g6g5pQ3F6hJChNzvJGOP2MkeEDx2CiZ3q1nbBTky1kzOva2D7dz/YAziRpBLOWklGb28COEEYdC3
8akOnX7X0Nxwf+wJ8NPhftTRyLbqEzZR7dycqaiOL83AJ01pvtVQXnYOnG+mxjitBmtHiNzky/VI
lhdRY3XFfoaI93OX8wBiSiNVKPgVDsVjVbQ4zeXBFJftj9oEAWtrg46fkO3crJqfvNA+ndfZCVq7
WhE8VaITCiUDpZQNmmROIWnvIe0E4zghlRhXcYNfV7/o12Bkrzc79SaOzA9taF+SHCG0RAhpXiG5
HKjNcNUWwBzb7p+7xv//2yH+T3YInenqf2eH2P18RuW/d8cpf3/iH2YIRVFIrSbzQ1d0aCZTV/7H
DMG25r+Y9xRDVx2TLIL/sULozn8hH3Nky8a5wKVQoR7unx1wyn855A2bsqoZBA9bsvb/4o2wFFXE
xv9bCRzXBBpHeFyOLcK7Nfs/stUZ0WtMfYH5oMzJsE0Lqm+iOASvXdTMreKMuSeLYInuN1XcDb4Z
RggDrJZMzLhFjiUO7zdJiyyKCC7b6wX8cb+hdabFYsHN/ctySkZ6JLLIz0Y13mqNxBAvbnp2zvuY
3NC/X/69TypQjQasCim9X5C8GV0g4uZ+pJLCIzJa7MoLrKBmZ9tU+yqxANPuh0FNBNs4WITDEb9S
m4Ty0xO3rsWlwDKQx5d4GnRUug7xa4RyIXyNcpTnNtdUcib4NbqAWkwnHP3Ozk9RS9zANEGsOGAC
WtezWBam7CIO3LVz+uUUJhMXKrk9FRU9rGY07CkAo6dJbR8JTev3TVf0e12yuPSHdXXFrDX4ksVj
ChP7GePUzqKyNkZSs9PUBSq6RWVkGHa1x2qfY+MQh23TcqiC49BXQg0D16zt/XFKFT1a9yM6Ta0d
elwCOZf9/UZZ6mgjj/F5GtpyGzfzNgS5Iz8YvBh0tg6DeCs4zKwyB18xaf/9TGJqOlCeyV1r7bCu
ehUyvh0hesQWW9OOxtxbnsc1iZqYBKS62LPOFntlJMGC/ZEtOjeK/b9uQiMt/+3LeV6K/aoYk8tk
k8RFTWpJbh439wTj+5ElcL/7kWqrJu0xEGYCgbw/8vuNdQckxY200K8yEasDgkEg1v3xdEky+GG6
UaVtdlvIgHHRsJCJy9Du1RftqLRoht36WTVuVupNP42MHY+11Ss7qGK/GzA6+gqEnJv5wSbyJIKB
sRJ8dt22lm41ftietBXp5vQbR/PylwGxkLpq8cvIZ4wr7tj6gXlorUOqnGpO+bf0j7KCinktT1G8
Ju5VQymY7gaIGIasdjlrE+z7T2n4NnQ4krJGxHrPLlEpSrePqITx6sM0eq3MRdHlIrmdCQT6kp8j
rpILcn03vkI0kkfuuATEuJTgYnCBi4X6dpDDNaslPVr6EWgPjEov1uZv8gi2i3oO72yNZCKCZnWL
W3HTEt98MckuYqhREKmRNATLA5e1inUi1TdJznNFZuls4btoBmOoGCe3xjsZPlTOV/WTr1EpDOfh
Kb6YLxLJUeG6O3Y3bAe8EuiZcfH0G6JwVRTt6mkWWh43PpQXEubaK/dX75go1p8kCLjVQXog8Rf5
RPUOHw5BnAFbEAA+EXAA8OLhLVk8RkJ935ruNGzm+BGtJhGA829PCGTzneRENUAyuWa6K2tv+Zbh
LTuocpdXt1MxYLoUpslkd9BKhl183T5MEftT8s9xZe+R0vRXbToUj+qz9pqD4BusIYSnuEm4ai8k
ZSF4qG7BftkRVieTychGOfRNPpvXyt6ic4RoIeNLziGC1tnNPDKRdq/Fl/VcvNA9SIKra45rqz84
zTvRDNYWUY7Eu9iTtbMBeOkt0HBKYr8t1cOlZm/iUzZ78iOJ8QQRo6e2n7Sj9EbzCE+G01b/1H+n
JxFMdTD31a6Dg/KGmGkPPfQq+ylbP+TjEGyS7xy2hQDrZJWfVI2VYktu0QEKhumqv6TlbTjWL9Oj
+gHd17xBCeG95mQbjnYFDOcyXGVIznBIw4CSZI3S2lchYjPOhENXocPzwo/msI53MjqpJ0QjJAVZ
HjHFsLQAIiTfXvRotfwhXBljgqv6dru2vHRv/nG+GSQO7a/+o+2Nz/jHubDuzO3avIVIXl3sPPny
HCA7G1yVZKzyUD22SE06T3kFV6o9Zw/gB9uGkUg/F9tgN5BDwXaXVi/oILf9VD+JJi+zrc35kPu0
HUQ/deuLOr3Vz3BCKTCcUDaZr/oRKyA023ByVnBL+QpDVbqyGHnfYuLc19lpFFV9Lk6kVfNUn7qF
WY01A3HRloSaxZ9f5GVdgId0b632ztoRzK5N4Jv5o8O5WdRHrTloAGx26ue8eOUe+IlLD31kT7Qd
oABs3pEEolv8oaHC9MDc0B9clWjFa44n9ynxla/y12EJRcZJmbzPlnFgiWq85G1+No4EkrMsjptw
re9GgApU0p7xHL8vtTf65UbEB35QlbXsqsekQ1bqNsGG9zIi+i94kOVd9RTsyQYrum32KH0jgOb9
HaU1bz2fveJpIjiWTyINhjBux/6FlicEP7LAEFeO5Ns8D9LqGloyXWmiAoHEQjISkX0QIr7PntDp
DuiDpHX4CYgT4WFoiPMliB+B3DbFeX7h433JT8kXieTOd3jtiIQ+W6ShLtqvjd9GJcYI5d70Vg7P
SX1KIZBvkMaT5PNrgspDIj9LR0v6aOeCbYFftkf6OG/dW3ByAJbmx3R2h3AVvozyJi9fDBMUsNmW
ND3qfplvOuVlrjxZvrTT2ZL/4DjoEThFHotHnK8DHefbOs9+c/I6sFGgdbtMbwTMITrhaVu35RYM
H2r7KyTKfHqxi6mWr/ERIqKWLiwqFl0zf+R36CFZMNMaPSeLhRWJJSPsXHBhyhJah3dmlQUfEcgu
Jkj8ibjU/lBehZXThb+a1jwx1n95w95sH32HIBbuE1qLS5i9EWmOqZOH23nLadx5wVuzx98Xc+k7
yLWPw6EstlP4PZhHwJ003xUAgD1Jrr5KmoXsq+VaiR7LBmB0jXNvGAlpBu7zWgJZ851SnlK8SIjM
XXS1pEMybrrPQBoTUzjL2EpvL1Y6YU05pO80rO2Tq3mYt/qDdl7OwbO954wmAf8gvVk0vbLEUFfo
4ph94yEABVPlLcWrSPHJQatwmWcJ5SVbrJaFelOR8hh7pfCCa7YmT8JHZ+Qjtc8odfBjeH/0gd1D
OmGXOgHyzwdYaf+F0Z530PhRom898gN1Owm62C1LJM2e3bD9QmcbyuS1HcjVGSmSPTCVE0UHvi4V
uLfYRKJ2xXhC58imVtZg2Gq9GZOnpfR746QM20EnXPxEtyvfr1brMLtgHAp70BM8Y251ZSF6Fr8K
EOkcIVdmd+s6O3zJpKs8S496vaGmjWjMxITDRHnoJr9xelHJA0WgMDH2bzosBOpBxUKCpY08EnOD
2hG4tq4Rsh2c9MUat6qK9IMKZDf+1l+rk/Oe225x4V7sn8EhOkw4lNlpePZrXa14SFeVmdmdj9PG
/tJf8bEcs+tMXJ9YTrs/krVqHvAyYmDc0Gw8bNSVs9HWxUd3kTbDhcDSRypv+h1tfwftvd5eTGT0
v83H9CCi3c4Vv2NZRwd9W+DzIaZ+lYynfJW+yUiDnpqSkFXPPvAaAcQS7Ym4Ib4R1EVjrsp21WFW
2KFFGdIX7RG6gLjKXgXJWI3gxRv5y3mXX3tEzeO6ecZFDdbnZ5ipbzPx0OJRbNizG/OmN4k5cLM9
Yzdh5Bf9kF3m1/G1eeb1F6lg/YFMaNNtHrhwgLZ75a59Gp8AYDhjKzpNECF5dOsWe+tFeV5+I2Jp
YzLDT3DRe8YAEsA6PoPqOvzuH6tP6k0JvBfALOfQSkaQH7gWjP6V2Lqb9GT9cOI0G+VZ7l4RIRkv
irYBQ5Y7jyHClF/t5Ubnpswj+RRE+As+QlQFdbdtsMPgKy43hgdmYmk+SvI09bFmHxuPk1QeWOHB
jD6SS6cj0/Tbfp1te9kv+7WcXmNz3Q8bEyN3jvkGWNrXPskzLjVX+Vy39bn84TrtwKnkvvbSQHds
yh+480330Hc7TJlq8MxUVZ+7Z/krXy3OG7F3hDFTjsnWE+arPSF7DxY/H9ndPg7X5tqoJ4XG56tW
bpx0l77HowtNaR/qx1n1esevb+k3T550qvHMH8AkFmaeE+/rR3Xw4GBaDFf8PP3D8kqK973ttmf0
43xrCZtAKO1V73aZBSqOBBMlkJt8zK0XPKTn4JVH1KOcXWgUD89DuRmKFVJ9xibnD2kbgXBVeZV+
QX7SxDeLYMp82//UhV+Obxn0tbbqMbr77CaUM4kvJfoPVz+OC9AoXK6gITBXuo226CvGMnwXAkzV
RtzjVU9KoGLv7zek2jt74Riw7eaDTP5hP0QONHHf/+Poft/9JtT5X0fW2WHYaOCyDtF6hQFN64Jk
1SDpdCdoQ3b7jMt4AysmPnE00oz09yiXKD0R3aDIIvQW0RRNo5MjxxiPxDdOhtYV2//lT+sVNl3D
HNlHGlsrwYaTSm91Ew5rtWCnaLSY6qSSObMXf1C1GY+B6h9SB+lIriB2H7C06cu8aoOi2TtFzWX/
fqiR77ufMxIi1UeT5bZbdeVr+Fv+xiqAsiefGNFalkcaaryu2RjkQZF3TxwNeaIteucVMe5sm5lS
xl98codmq+m7waJk0y2+TMJOj0w8SefC2zFJ6K78bnCl8JAhlxjKkxXEJ8PkaSClevKkBKHdhl+q
mw/9iSQuT72ZN+00KwBxB8n2wZcBRlVrnf8Wr7R4rzv2ok7u8jfYf75CA9Kj4oWn/l19Z0BaDjz7
hwQ00CVweGu6zmWOVr2vv/en+oOpMxzXoM7RsooJ7bXRTLsVddWvNcapd3QKj8qHeeu+pHkV/pJ7
ywutv5cbcqTVdMV7P9ckdpFA56q/w0/yyJBaZVfjy14ZF+R7SAfT6Go8gGFOX4Vf7Nh4KJlXHbsj
YvKFT+EfCcnvW7qlB8JXPhL2fe/WBRCclw5h5EPyw6aYSW8kSea9/S0/6hD5Isks9DxulAMvHlYO
5h1+LAT7AJh1XPWluRF0AIEWVSvQRuOIoo3r3wW7LIQz++ETwsKZXWzk83aThj1jCHaLrXHp9uFp
RBL5MCtARWsKm5EjoqKVf0a0gwSakwJ27pLtdOCvweThfCZpfMa3xJhEHu21XrVvgV8FHmZLBAcu
uQwlhdazO/rhkbOS4Ozii1Y1ZqrhNeLlHHmppfX35BGBtomPwZPlISPbmbuFRvpTgHx/3frxXts2
PUy0S/DeF/GrOrltXq15y+wVW1ycpPl+ISOWbl1ERppHQq7nXKVrDSVz0isYHq7vV+Zn7QCOohwU
FpYb5jvdHajngOQd14nN+0omiHWVyX7A8YB06qfaZq8N5Z6izpS4Bxe+NuNC/oyDSlnp+/Cgr8ML
ehrs8eOmviKjrWLCzAFhXO4i61zbYJRksXVO8g6P+rTtn5OzUa6s13oPbY5891x+RDeIAI0WoB/L
0y7BsKZKPHwm1J0UCt4XZz18wStqvMuv88hoacZr9Yfgh+q/iTqP3cbRJQo/EQHmsBWToi1Zlix7
Qzgy58ynvx/7LgYYDHrc3RpJ/EPVqRPoqASbDp/P0cAFoqS+yrtmO73xNGqfgLnnNZzsXVY36Q2h
aX6ie+nXInAbf6iVZ9EIpJzBpUdgjPRCcX6pche7BR57VToZLt+aDUMQtibOVelWlcC7Nl3rTZDk
1Zce+ImLE8d/ugfpss6Urqss5dM40Q7k5h8O6Ipw0uAa0rt/U/zRnup+tVvBMgl+OlNSV6NDgfQP
YgBGAN33Lv6hRR+O9JFiaI8fmHENnzB9YEMQCEQGDjIVvcZ1iLVOz+n1n9pXjkATlQVeZXuwEUN2
g/C66sTePPE+7SokJz4SYlHaTtEGdSOyeYKhJvY4ONhb8a5gwrb4PVNR0UG6On1JEHMOjJVWvKW1
2491FX2Yv6AIOHdgUkV4GkYINgAQD7y/gAoID5pv7YtFEmFqQfCzXX8QakKWyHzJ4bHg3Awg8eh/
OeKi9woOekq2BbXaYTi3TxDkcVwa3ip5mzQckrwvwImdfhl1B5QrOY8fSLqBMvTQBseatTfUioKx
KWpX/M2w4P+YkfDypY0nFGIL1zcR2njk/LXgX5mHriH/YIwIkTL3cfx/DeP9eLJopg2n/QpMD7EM
yUr9Jr8vDk5Xz0a3SfD9fcs/rJdZwwUNUykHe90su2Tpa8DJ9IZLMMP+AROw8dROK8yyDu6Spyng
7gUcIh9Y8OSrqNkMOV/wRF0bB0AHcIIaDPW4vA3ncj9sg+vsdDxOiL0XYC176lyebvOTXtgkoXI1
NC5O/PCYO3vkF+TR3mLUguux095wObhAF823NYzmW36BMFGfqvEO6sVNFGjnyKJUcLlymi/DNZ5A
0BiWvbF3O/zrTtWzfp7PpbUhwcLiVDq2FAvlhvhhT3FYTevLXdB38BzrcTff1pMCC4ErT54tJ7wx
PzMvK9+eE9ZkM35xa7ToqhKOGwT4PSfvobylp/FsfKhOT+hI6Ii/k7rt2XI4Wnz1mpMqnhht52hP
mC0G0VnsTcYGX/4JXQBVDM6gFfXirhR+/33fPBjVFS8Dh4D57oiijZcYXozagT478KvntvI0yY5h
DyGFM9BqkGi9xbGwkV2J5lNtHaKuSLsAwjJ/uWqJNYtnX8geenLghuIUZWFBNSE9LoUG9Tq+yL8d
j/nKdtMJmBtdIHGwu0RwZNkLiLUaXf6HqorqfGNxv7JR8A5GdPEEvY7en0l1z7beFJ94KFZMAh4t
i/Exf4wndhoHNux3ctYUZBzSKUtuonZAKZHtmh2j9ZmZLsup3NGh8l0JaApkbzTcZcuuFfDx9lXU
metBr9Df8t75vtVrO27ZF3p5zODpH5QPbXKNAtcEbP13NZYEpl9Pnpk/96zGn9ilPcaK00P1n+aI
Jl712TWa7QxPsnWb3hZxgNlVGIczvPWM2gXrZDluWGIR/7HVvvA2AfzkgQfDKaq2oXFOMa3oWAp0
lVzb6VoYCQFpezas0YwERPwKVi9l4BSvyy5YM2HaRDzKiWujqV0CmJTA1gvPeuL43Yyufh84taih
5AORoey78Vdqr5aJmT3d5ZN441IEFOzpkn7KSxvuSj/xYu3MQ1He1Ft4CW/qj0b5/zQcBjiwb7Cs
EfZuwq2FgQfYryN9J+fw0E72UO5QpbNHyW9i4aEXqzeQDcRbycZMgOL42+MvtRdGMB3DIbsD9XlR
Q7t5lr7mwQWYXL4mvgrKuUv3qiEjukOVHh2IhMGl5SBZ4eiUbrHcJZXjjS/tTd/nn3i1uvpHjfoy
gmS+af4B+v24k96wIPizGjK2bMmLbMY6xU6Yvqty2/oQfT45flWW5Y1LEqm2eOWLDfp177a/1OID
Blx0cTiAVSfhkys93cPP35un6iGhXv3DEGtuvMW8dd24SRQU/D6ITcoztIM9g/iCH6krsCoCWfZg
OvkTPf+HYTBxo9ojRaKpnBrD6NvohvecHUCBN3LxYZS0RZSSHzBb1P8iTmBrg5xcRNHjggODY0KW
kvfTUf7j1BVhmiy28Bwe1mCca/GjuiRtF40zsRI2+A1ciPwOflFOcILrlV2BAyX7heHH+At3a5+c
65dwy2r95k3i6dN2R8DSCvE0VqT7YKdSuvlwdWXa9g/zXj+p7nSI/cwr4J0t5IOzPAF1+j+uZcJC
kRTcKL20Aym3jBOO0rO2nGdY9mDktuJQnL9wRjXKVpa8jAHZGqi1lhmBdAjNY1TR93gdJh7lkdZu
+LK+2JyIFYc3Fov8IxM7ZWw2iN/vpIw/s3vb2/RGEhIbyuHr+/nIXpdjc21vHIoJ+An4zWtMmeDK
O/V9+bLeltafb2lo5x/cS5r6jLFINH9z0VD+B0flI6idSD+Y31QnQmQXmJ8ku+gFH5H4VbtUADrX
FOUqbA2W21F+hVuevQ3b/jej79lnz+kJP5+HhtvyLsPa91gcVMOFgEi7hzNFB7sc51CK/V3lWqfw
DM0h2k4uHlAkX9LVJHfZQ6y7KY+xq2wtrzhbB3IWX8aH5JtHNKsVzRIM47VywG+BKj7ZRB5PA5N6
mUKKBB7a1o30hfJ7uHJGtuu5scm+pAbNNdw2dL20T2DOJkRcujFOPqrJym1qDBk2KvZkR82Hr8U4
4FWMHZppIhwB9RXTwaLGBOHtbWiXM9ZzLmY5ubkrM8+89v2mOJjKhhB6/gcparUBopwjPy+2ue2N
/azcKg7WFCwKtGHfUyLLW9LxKBDxvvuW9s2++xhfB3zhR0d+YI6F4fpaMePkrNEc4oW+oTB9QdUk
fcCv2ZU3Or4DA4EdjYVxqzmJTtkTUvtMtMH5FvZIumnfRZBWDv1wi9Mba0f4DLbjY/oT+XjlRjjV
D6Hz+u/ujnqK3KbsUhP7U0DD2mh38yB+AVxpg6u+CftG8qOX6T42rtZ5QBflT0KFxLsCzcd8pBK3
nUK6o4fITcaAG6AJJ2RY33h1RW6IpJIxXrGpJls+dni79cApH1pki0dwn/k6L0fFNXzzWj9CECVG
UBTjsPawa8Usr3tR04+BTxTvxkc8XjVsl2YbLl4ENn8ESf/etgKYV/fyT7q7sTE4YH7RBxtTwq/Y
njlGtmi3hB8i3P6UO0MPYh/z0NcYsUnb+KwsJylzWpaFHfZ2jbVy71etB0swog0m+yFBwMb74YJ2
oONskd+K+L0VMD9tEMXvaiPZIcbRG9yzCNpU5fX7j3GEgX3/ImEpFVBpbNgF9PDLy/yMBlZfQany
bH6PzZY/TF+QzRsjc9MTpzaMeqYZ4c/swSX0mC2e6ycImeEGvpZH+g2bh1KZiyQ8aS7evp/9Xfvq
jsmwyXMn/BSBkpv1+E3/SgI4/rp3E0/UEHso2od23x6wnIMc+qe84ov02u5He6Dhnz/Uv2nNkyBH
eZ2NRnYfbTXTY6cNO/x515xYp6/XGecS7BvxjMEvrxj1++kRrCLhDQNJiccG8t/7AuFh6R5Nn6Yi
JNgwpFNi4pNtiSxEmMHrnXWTvqDmFhhfWz5DS6wpMYMa4RSb/tI+oJPVC0M3mzFRs5l6vwh9ea0j
mInCeO5ttIT1i0pRjjaMGd2DFDympriVlZPTkhgINjM55ifFcfCkkz2G0nA37ikImBfS+DkDG+C7
eM/B1gRyoPeFddE0PyZMZNtcJcubTQqYTfKNIct6ZTno6j470HPyikQnZRpMBHHF0BBQmunnlsYF
2x724lPiwewST+GHzDlGde/K0JG3PD0qYBLAVu+29R0s5B5ekJiDf2JVkXtcZ25/ip4T7dSi1oC1
Sg2KyYsd+hzZT3xcKuPkQbWc4wiBYcxSbqnRrE/jlit2cU9/Qt1lqedHPPpd8x0kwNhg8Z1+ADPl
l+kYPjE+7V6xXDIR4Vr+8EoPz0DRem/Q9QGYJG91+sSWHlereVf4Hb/Ndy45GeN/LqRha1FsfCD3
5vrmhst1h8N1uCJQ/c0vhN1NO+O71Dc1kbneTGhacISVrfvaA2UyxENuWHZS6jHrn2aEtG7XOMXs
sWjXs5qHT9n76tSNxzSZeRkUZmnTfXOBKjaauFtpunhbUaaVpzx1xDuM1GeB44iENWWhtqlHhL9u
QnST4pT0Yew01rWwiW6Iuq+pifLOhQVoFtsI33C7Ple3stwawpbhAhMHKQGzw81tJyXnebxbiRuU
1M4cFBQbvBWv/0rBeXwdeMdhLMhaV932NJ+KHdHtW6Aj1gKVHbZcN3BZ0mRX6u7VOGMdoj1jMU5J
eMeTx2vf8E2ohG2JXd1NhtCdgNseY0DjFFgKnypqsWt4X67SGkn8EZtexxtkDMEoa2uCk+eu0dnJ
au5YrpMqQ8cS2VsQUkNIiT70J91t9ynfVGI3D9IRq+RWr+81/iQfJ7AD/lHWCKFhPjMwZ2CE3bZu
OECWlBsqQ1/1yPAUSyJi4hljPXrGlDfpLOwIZXjNXrjUMedAWuRgAfrDwCihH8VGYcfAAdOUbXoV
1edkPz7rZMQFNkbLb+LbTO9L4b2r3ws/2cvOQijyRvkE7O4+wP9JLsMrR7LlQ/NRuIEr7LpbfOXj
qE4guUw5lF20Q8QJ5Mbnjk7h83QqSHpY5ynJOqFD48iiobbLXptXtub0yiLjwCOmWbsqD5OD+3nq
N9LO6jBvOA7luwiEcdcBY9YoMhfaZzYxk7WNzmHcXf0WyqFJXRNMiFkZVzTfPeVOvm3nLUqTDAeo
1CMZVuN4GR1c4sp0n6Bjqk4Skh9j12ODjjJI9ZeJWQZ6HjcPPD1l9ROls84fJtk3ezsrXCt9W03s
O+wZhSfpxMXSEICJ1gMQ4N88LtEcrFdSg3n0RnlvfuNr/kWKZvHLQPjCy7Ni1oewbyM0hhx1Nobi
h+a3IWYJSS+CmGNyq9SN+ULaO59OGf5NloC26g0jQHi2GNEIrzwdPiMGwAtl2Jt86B3jpD9DE7LF
g/nC7JDYBuMHtjJursy7iZYBUMIY6KAfhs/5m9BxTK6SP+Ycu+6pmTYdOZiJP473sH+SFFehSEvd
4hI+BlTVILvGyfDhhl9FaluVQae/9A4hepQbOTO7jm52M3/FbzQVQU6upAMTomV44vZ73H95cfnL
PFShHV2qW5ZvkMLsOB3Io0+w6jtaJfTTLRIdyWUb1E6tUAOr5/BXepmZN3+bmU0Musdf/RVAb0tg
CUd+4/83eHx2MKtT+yZuFYKXN4JTXoV3/WV6D5OttJM1v7Plb1T78Q9y8DvAnXYTwh3KLJ/Z4s2Y
fY6M9trsI/S1b+GVQ4EEA4hoGmZm/dqkPJmnccucodIx+96w/zFKOUv++J2eO4ZvwrknehnW3U15
VxnyxNdMdaqb+YX8UgP8OfSvDE8Id+D7bHwz3syvvEZ3aS7il3pIn9GdyY0N2ZsKDz7KdF8+Gl8J
11FrC9AALnplyKwRxuXCfpMfspNfow+WXXgVAZtt85mRTzU7+fHzk7Y6BWHYTn5KDfZrjJvuVgMK
2dCSn3mP8VXlwLsmt+UKNwCDpp4TvMRfbIdyGm1l/UVa5MY6/mV8odYx84mq5uCEu8Bs9JoHDmNl
BrfwplxSzq66F13aw1ohT1y8EAE2UEhuAJaH7iknRkRweKTJR8XGOsRe81JdrJ12Tp36PPnqF263
yriBFnKQt9rZtNzuEb+xdaM9VmaX7Gl0mC5CjBZjF94LsDxl58WRdoUfk4TqCVA6jC08PGAWgPkX
ItPJwOFD9G/dx/Ck82kZ3/6skC0O2kemlIsTHQQMePieadfx4L+p2+xFD92j9ldD8ge+3qINiOsd
z/kHLCYKXVzfem0DvQOiG8sX4g2oA0NEY79cFHmnP1NipvWrtRcPOccnV099ZF1W++xWxo7xqX/x
sx5L0F+OCBaKRPQrRZUrvzUnsoao2GIqIqeWz2PnJkxqZvSL8OnQYW/4hGroK3S2tQ3sjJEKS0R8
bS7wPgVGbnTU2Okkn1TvlYKpvj0sriT7eNNaJJ1810deCbKsqdirv8V9vOIdwOvEGHm3zDuJsosc
TENf81fUEgAvBXGJGwFkGyLmtTsJ+/S138Gi0v9N+ekaX+RjNDvjjkq94ujjLXJj0iBGW/ONETa2
FcVJegfX/Z2oqo7hvTiuFLHQwaMqmHfWc/1JxBtGUeCpDzghzG2wgOs32VHguoc+51bWcwAjFj7c
vXlgfoV6AA475/b0qJnugk7twzuMDuGoX0AFOgD4D2661zTdmxeIZRdorpfuvX4TnYY6OvOqT05s
TGMQwCgsH+WZG4SbRt/DGlJraGgA4aQ84k1yCvH0vVBlG2eS1yZc0CmPm8v82l6183ho/Czdxapt
UNneG58D5rknSuVgvRJBrD+JEEi4mYE/lm8BXYsDKeaQYOsDec2D8wjMQtVLEohi+rNvOZwEj8Zw
pjuz7uae3C3cQyD1gvhvrBtWLCbllxs6/f6RBacicgzqWhBjfmohU9owUp3/Ysu2HskrDUPHgwz9
jKbJrc/NU0LNQVtT2wgtS5lK2c1/uk861XjwkyfrI7iSscaRKDa7LncicYvzCPVkMB6K6ikRt/q3
/p3iHs9XxZd4NAyMmraM0eMHPVX/QBo4za7O4Ep8Nih2czs9j6iMtuU12RZPChuzt41P4cxNR15Z
Hr7XcFgUFpdKPzVusT3qxq1VvMTZZVRIu8A2BnqSPfzWzP/eqCFwDqHMKIGxnBps5RZ+T6krB8Ac
NtuHkzoz3bzcjpVbSzZJej0GtRh30eqp+EVsGqKEhi2rrClBl5m7Al4xa0K6CiHqVB46384+eC3c
9wizmzlaBlfX98Z7LrmVP37FxQ5jaQjZB40sZbTHg6sQBoFtHNaC+EhrfGY357JGpoHt2HXedr8E
mx7wkyiHdbagvbZvKRTVcBuVRwQ3+JhGKv4mW0xcUWdBo+Lkw1C/hMRn0LTZ0ve8j9Bp2PGylrB0
N+CWod1iO8ZdVUOUSQDNx/vUPRs7k7HpsEW2nU9H7mnG0l7IgYP5//xCtLcy7WtIEPpe7j0qEt5w
nj2kAMpoRV4fheiwQ9EncakwjKC2ltevv5bd9Bk7+lw4DNOlK1/i9FnOT3m1xVRemnAAcBbhLoy7
cTgXBBsx7WIGWTKY2E/DScm+Zn2vmpDF7rMJXFNsKUuoy6iFKBJUHi9gCCU7ZbfsmrHHWcnjWBK4
ekcLm11IdbMtoxwaHF13oN1lD/XFOkNP6nH17+yOgXW5FYQNhVFReVL5Gaq7djpqExyOOwdzrO+G
m/41nP8N9vt12v/fnP/ff+KDCfklx630v9+IzHBFRxr4cPwFVNv48ORNMPoIWXf/fjYHuuoZnXEm
FcDamaZIpjnAWNKyEyoBUE5fgm4fh2MPlMKvDPL09uNMojuBK/hs0Cv++9G/35Rxx3baDmj738+k
peC3casjX379l9VgaECwpo+0DcggkUkInOIfaVy59v9+1qy/UadQ7f/9a26RHvz71X+/8e/P/f+v
mGq/WkTGQ+cgG2X2+O9lM1PhxFt/+e+PYglLY5LI6R5PneY5HHZTRTeuzhBV+mCr8GYlPTb9ZmxL
Lwg7f4YDJCddh+efPjt64ca3tJ9PTThfpqDtEPnx1Mpc0Z71IiZsJfq0lPxFUYVPWRw6T81UMhIY
b8TpvIuFxG3Yr33wPBWT4kclljlV9ggELHswwJ+8DD5dSvytv3Rt6OVJSZMHgmBh0qdl0GJn4kkd
Q5BoaUyDNrmHJ5opyZMQp498KMfdEFOfojjh6tO5N/U+ZnDV9tM215lsx+NnKZYygcTQonC0mk0S
YYgGTwq+I00cvFYy0Rh3QKPjOe9k6WBpTB9QTPyYIrN4U/Eq1NszJlVmM3+gCmk32ULB0WOnhEuh
rwghhVEWM7KM4XdqsC1aEgrcuYfW2I5chGkL2DyKEym30WNIZKIauGIQkgSMB3qrqlBRYlETJ1hr
ZvQRGnJgKN81xEsLI3MthuS1qAlkumE4hToODCJ0ZsLl6N8lb1mYl1fRKNryYvwkufaJxVTqkAYf
4PaJYtuAmTCZcF9wbNslsClUg9HeoEiSIwkuB54gVkh0hbGgY33GIJjtXPszycdTQfQOMRtT/EKK
Q9fCFmsG2oBkDp1JXUZHq9e/voouiYKPm6F4CUo8ibAGv2CVgOumos1HIyoLYvAWkLg2y/et9jXN
W60Q9qRLcEiUOMfxlbstdpMbKc4WN877RyBG1a7K/8QE5gOad5qmidDLJSUwnVnAgOghlsAcGpTI
T0T6uH23njVZ8RnXqC2kp6TCLGEsTUgLS0dHnhofOEp0vhzoX1a0nGY5A5QyJZjHIu6cZCHjvT46
oQq2KeMViS0GJqZZGWzRDFP0stV2htK75TBN225eYHPjAiXkzBQVvbzXrERXGiVwSAx1ZBly5Bpv
mZjZH/ajzaEyZyTzYCJmPHNAF+yPYIxEeBoqQ56M2tX44Ais/tQ8/ElQlftFxt2W4lu/kVmy3Rot
UgvDcTHnvbEo7JKEakBNWrzvuQsqELS6Y0DUqLqAgFTnMJCzTw1TeldukocRr4HCAVxno7qKKS3B
IBTgygNTVRHcMEy42hLFuvYqls9KlWpOw1GWVLmGFRNM/vEcsJCcYACMwObbqStMTiVsh73ibxTS
/iilnNyqTNR8X1ORx3ns63if7XtKmiQIJz9YytSuId2WsgrPEAv3qctEf7EDjQu1HLISUa1+0PkC
hhr0MEeNjx4YFDzEpXRrylD8lyY59jGFSt5S9RVVehnDz7glqlKF9yVCMuCIDbeqZtqzyhgiTkfM
NgdGpHH4iEpGyqVBoH0pp/6stL0dY4vuy71aeC3WMmBgDP+HAvC/WdSYBjh9a5blrqbnqWI01TFD
nNIZ8nPPCo5WFaoAiFUy+IwtwSH5WLwYat49lzItTDp9i4b4Pk0861IjxUSYUxda9ldb0tvvgwhj
CnlWnk0VyFFQ74UucVf/owDNDFwSEbJtXsDB1ZqXKRfU9xS4UVaYVRpgwWE0eJkq7EeKCBkzACLm
zG6fDvEHJheJi4jugAG1AStyYWo9MCCdQmQJASyReK4vltRtTGSoByLnQ5cEEThUkoKXd102XiHM
zzJuxbKOvxHW7bQ9jbLaxhWQ38EMjak0KBnixSOxBvmNET0XEvF/otw/Grm/lXhnlT2+ld0k0sYb
4BMRuQRPeUUDqjG0XzREwGIK2E43Z4xVxetyvslC8CIEIXOKWkj3cBFRMB8ijfoisRiSW8eAI7I0
HyIRwg65YAzwUShIydxtEd+7gp7drGmVK+j9R2dGwU40KIdH/SvT89+50y1fm8YBzw4weHJPdEMm
dx5qiSznkYP8TcKbGaq5JZVkWKj0S/0IpCWHur+E/SWu2ghXE+uulqt1YAZOwTaDKddOEEXMxQlZ
5TD97DZE38PEeSwSfZeZ3hDCNyzEFoeLeLyL/cuMhWFbvqxvcR8YEYsq0gVfmYMNzplk3M/ZPbaU
yIuwuNjLMTOahmwHxjhwPDD9hlvYsRWzcu48q6eYLhh8DPgmQ4EWbcyEBHuJwsAbBu0ZNwPIzZpa
uhZhFb0UkcXRZlgT5PO2YMwzmq1vqPKCX90CsWEZsZzJMZ2I8wyM0Zg1j7xABCK8yESH0yeOlCNb
Jt2B27vFIXOFqUn4gBDBM7XELkeWAHdFqKSN3gAuVwuWY8IM9kWkNUOITnvLRECD3DwunbDgzgh7
ohzbDuYSgvxqSFBTV/tACzO3RJ6PSxbSviQE5a+0oN8MAdYWAV0YPgAxEzRaGIgnI5SF0AQ1VOYm
9YzmokgVedeayJAQA3g7UUE9Wp3eb+CG3RgMniLDmlEgZswwBbjYMEfqeRg2td5WfoiDwcbQtad5
AjMu99aMzU3RM9+PDSLZOfq9qEEokwpli1paS7Yxg3Zpyrw4gCCPKeabZIIuC6xvtwNQK5M5pkkU
blbWmkSi5gw5cSmtOzW/ykVyF2pcYCcO5LBvR3B4mhGxkJ0+RPRStAm6JS6TvDHe2lST77n6NCsE
quAhtxV6AMxZTFFsdRjLNgxdKxOvPVMbH3NvfgdZfsUmgtzHfmgPY4grL/MAWY/HgyaHMM0tmvoh
B4VqLPNoFfmnFgSrXTxT/DI5T+QW7MkKvM2sQBYrZQ3VXTW2PspWoFcmjQlWbnZO7QWPi2BUnDsY
Q6gPXKx8S4DElhhEvncxGJYiZhlsNOlHSbV72dSkG1eiO434LBGP4Qz0L442EB5QSapfpFAXovZl
MYwdrhWOFENqkKXaN2ts/3KE9o4SokhvR5yMu87N4gkQSyieKqxX9GZBMMbwoCI/0RIk4bnn/Tud
FjZ4aeGcJETv82RGW50g7cWZ0bRfVCJ7whk0KZetxa+NwR1IAKdoYbKtihm2wm2yC+IFt4rxXGdl
7BdK5Ecx6JUUweIn5A0ZUtwjVlxbIKHJXHxDpXbgmo6tp3ANIzd60JcmKR0iPyxPrBjSZ1GCN8lJ
Jx/B1kPGq5qOkFGU/rSx+zbFjj8WnqFBzwfqO76w6hbki7mrj9bUqddF1tHdSpsqR5K2UJz4y52Q
ddVDAb5sLWlfxQxz1IBVKy3acYw0hilYJhHAXaEPaohMAKWfWrmmzzlXYY7gdkZK2moYA+CobVY5
oR2LAe9qPE0Wt8TI7Ketdcm2ZtiQY39XFCXZZVl+hogwydh+1RDqa4lHjZGY4uK94BaofVffJWM3
G/VBndTwpUoIysG0vm2gKpqKSqh13X0YVjUec8s6zBbtiqVV/jB9FNpJrnCgQirsCgZJTMUc00cb
b5GkXbsMZ+Oe98rXlMAmzIOUAjJ9nUPzi1QQbavMiuW1RfeC+254zFWOsgI/KS0V8JXjC9XASUmS
2EVa9Y7pYEBN1z5yOWauIZZPcVBrkIAngoMIAiNGBnfvjm8BJ1SakgxJk3IVCZar4uE5rMD2JL8O
TdEzy8G2OiqnuliOoxb9GGNO6kH4FaQgO0E6ay7FmFd01YwLnvSUR/hbCbiKKx7OElCOK0C1nq6X
w9+qL6LFRKWLy9avVmZvUvc7y6gFG0t4nJxRyy4DIEZI7dmiEKm1Gfe+HLGiGeNylbSSa2n1oRZz
t2zNd6JDMdrOBD+VwI5wnYcp1AK+zbNwbpAWvIoMzca4fc+npLUjZYQ3OaaGr0HMTw/6INNCy8NB
J0IdXAqLOKPI+dUMd04MFYxbYvhpGhE0cQxVo4kxtBq+SSJNiJ8r+KSXrkYDPSIpi6SZ7HkNceg4
xNAU5zDxAsyDIZGnV9zNYhy7mNXyNAgZ1FJ3yDAfknImRnTR4PmELcW0HTv8es6SUYN3tV4qznsB
3sSEgy2w5EB5XgCfEuHgcmnhMzDu2MnWS1sdm8yL5n5F3OAKsnngOFU5br9k9pXY9AcNY+U56i5g
CjeBID4SAIWtEvAABakBA5n6j7QvUmJ+TJdqXrDbTjwGM9NaUcthQQI3zpClNf2i0w3tJe1CdDoC
wfmehP3WShOgg0jKvDwkOEtjs8u4LY1vmiSoNilT0GqtVS/b3hF3Twd5je94VovCwsV32daZ2sOI
1aI1yesyDBKdd0MxEygJUGhtPik62GsohCcipSiWJRYndSmEnPbEOs8dM7SY71pfZtM3oFHJQRKG
M+6WJz443mstDZswtmjYhxozfFKKlDT1sVbOnT7n8MPZy1ENcvwm2OOD0kEtmfl+xfW5B/BJFWyF
5MDK3kQdE69IwDmzW3WKOY6H2YwrU14LftZpzPpE5i4TplEYwexUQtpscsSz07TifC2+aE30hafx
vpm79GCZLavDVBnrNCEqHyitJm1FOCsMrRfUtqNi7KLkpcygMYRR901Iwp/SAA7UHU2PxVx9UsmN
MtD2FyPfbgUu44U9hB2CukICt2ku8EhCyz1PzZZbAAF0o8DThY+o1/p4ikqCfCxtXKEMNN4ypLhY
DnqXECUIq4tc7PoGfl2vLgXdtmqPCmxy/EFNv4fj0kB81Eos7Juh+Zs5ejUrmo95j3toMjc6JEbY
R6OlBY4aBONTm0bbYVhOiyinh8KE9zct1cHqu9apmgDuYBC7WhJc0gbyNbFKB2Ud72gYom7UvL3r
mcEITnT08W0JceXFEOQ+qApkrqHFCD+ACcTzjLaqsMCKmRi5F1p+UIoeoVQHd3qeWde54Ckauob5
rmT41GJSgxlXBbOq5ToIWfXjUopYvkWBQxf8BjWjEhv5e6mvkRxL7nrq42VEWUJlHD/JuEwiHiDt
AmJHJcMwrOZ626b42EhCcBUbFCILc2E+WCZlb5mueMOasoa2QlDiA2XhBcRkgWwx+oUo/3FQ/kRL
jYt6QXdHNKLEDsjxoleFTdMpjNfkzNYKs3T12KKhNa1XXIzYhDoL1WBYONLDP8scNoizjO8ljuGE
QHzvcaTzZH18R0HV8RCb5oi/k7CGoEMoKCZPqBPmHEIXXWb9ywxfkDhUYFK4vvWWa4zyh9gxTBnX
6dH8MEY6l0xvPwjCJQCQqEX1EZRoS5Fg7cUOnkfWR5+dCCiU4BmQlIkTyyNlFYkoblvXD7YcAFOA
rZ4iqu+N0o8bSYF4KuqFDM1d/FL08bo0zDQ6HafTEipAixO1heNVNqY/EU7I5wWqvlwyKivXPlaj
hZOo4aoxPAoIJ8wRCGTKpGOwxOZVaxiIjAyvZsCvUImlJ6OUnBJfNqcdoGqm1VRcF0X8Misp+qK3
+dGISMsl/bWwNFBNpf3hfnvPdbAXrQupsp7Lum+2wJnaFE5eWMfvqqjCy9r1IxdqrCLmbXtgNY6G
Yw7DZS7Q7a+54ZgB+lpIEWPg1dAoo8fVxWhCLffGmOEIJQ1fgUwmrgxTvAyoTuagCVBdD3gZZ5JH
mtrKaZE+s8C6FUuCfiX7d1gxfAqmp3jK3k2pHf0Ff9VjPeE5RoCn5OixWELIqT+HUcWLiV1e4r/o
zpjqHSyLMMuEuqVcmsIbpODEQZcQ8Wmpm/+xdx7LkSNptn6VsVqP10A7cO3WXTC0oGYyydzAKCEd
Wj/9/YCsbmbX9FjbzHoWCQMigpEhEA73/z/nOwFxc4ih9IfCK1kbqkEg9cQUZ7dPXLyi22RoQN66
3r1LMsDGn3xU/2X9zc2ytTMSlTbkJbbU3Ly3Gsa/TLeqdRqQ0SQ0sUOjahTYn3w3VVznqPEMjH3Z
oFVQRzpnqyrrWOWZs5coD8xUtjtfMAl1cXKafsYopDT8CMyStCjHJ89SrwsZUdzGOhBpCUI+KFZJ
Fnt7k7nFMcitt0gJ7zqKi5tJw9TZG+awBZkKWsvF8aIyJvKWs3Fie+uDlSNfkZ6ll8H1fe0RnigG
/hUrwhJtL4hZWdN18L+bGXm9k4lIv6OfEcYvVZHLG5dyNKuG8cLp5KOH+E5h9cPzYo0buxCfGenk
veM6rNzEtWyr94DC2yav0Er0hTntPJQYUNSDVekz7Z6r9rmm8m0gIcz2YSD3vT/zegdwepIeqU0i
LaYNJgdSoCj2BRqE0WDE0KlfBVNlIGUdQGO17XMQiMc4lzZRoqySwyJ7MsZJ7Q07Ofl+ra3GHvuh
2c4iy6Yh0xcfv+gZSHOIYnuzvqmEC4ohUNQ5gtDe1j9ayGlVPdJNmnpMHU4Fr6Buay5WAvydjpdH
y6Z6bUcZvf2JcsTAFW4V6166jw1NbkqDT1UM2pvTzklkyn72gM/Hblz8iJ2BGCJxZVTOmWvtTc83
+1j49nHQzHQVQvg7xjW/QTXT2rOngVXx3q/gyAjUDNmZII+3IEb6rnoG/wZbFhcSoqacjuuzU76l
AbkRke4iL85n8s4/3w3H6rZvZkOVbavj4Nl5fL08PCilO9KonhcRXT+uWfgTqbk8aN58HarSgYmw
HP/cXf78n97/9edTV/G6vo6lS4ex3+mi/+S/DPFIQM1eAN3L3rJZoNzVDAD/Olz2ltuWe78e/Jfb
/nK4PM6HNlN0bzpoQyLNnM3C9vaTgnczzm/x5+5y63I8mQN3CQXtw/CIQZlfybLh7MJx+3UsJv9v
x6SzUDus19GTVBPE1UmsPGBsxsqilHkk7njiXYrmYPnqIi0gjPoDQYELy1Z1oOpCLbSPEyzutecy
pVkOm3L6845kfoh0ILtyUu2//mB52HIoKArtnD48LTdFtmUdCaPGydZqCTG1Jtye5XHLPcsmVxWt
Wxadd3FkYtyGQcrh/DKWuxvDtg+58TZaho1g2OtwtzpoBSIoYicmDlC2ZlqRLGnm+ynX4rKg+2vF
zX0T06DpqrFaOTnhYcvGGBoEEWFeTegbJxQiUGdk3rwPAq1F5tpUP2MdiCQXcKuiYxbWNe1CIjsS
YGP7aKZKxTMoKltO8PlwuU2pHul2K8GBVuBqc73D3rDc0wWZPm18MgzTnqr819+lBO3yvbfO0QeO
Rjb4/AzLcxeBmMkjoiOFFczp1//3839ZnvbnY5a7hoZOit5nuEL//qKSv7+y5dHLHb88939599cz
FG5c77y2Pnw99pf/MyfRJEqqU6ozAYaZxfDnKkAKBFCuw8C77y2Ei4aOz06OzTmh9AxOCnpG55KS
o0RE6fKFcFtSs0ufrkAeHiC9Zwdi8qqzaHu6Sgl9fFIkurDbxE1KgiO6lTIH5QVihTQw8dJV2qdj
herYlTTiq5SpfsXMhRWnzSobUoFwHGpi9CwNn5Wnl5kDBBgYRJ1X73x6H8KhFFA3FYU374EJWH6V
9AxpXqkhndXIiW0Sf10EXYlZiWZ9l1UIP13WItYA1KCG4ZGpjy4g+Loq0EAxF1i3yXjTUqJbY5dH
XeTkD41DA6EkChelD1gXqmRrJt30uxv8imRFBYdy0O8NmV0zva1XQ6ohRIjifcoleN8RaAMtFQaP
zrpMI2MbmCN+rry9SfWci1nkt1eDTmOppYOpm7Tp2lkNnpKr2uXDuCbNY8C4hpbYngoifjBIElZl
X8L9GBFKuoWobnJ6i358HfpTulKTh4RGb97tICHoMS7l2vD0Ux72LfJTYuSJPj8GLgYQTXrfE2SV
DX0Q4rUgvQYtih4ChoiwfmkJ4NlWWf2qyW2Spg2NRpuOfpLcEDiNJtou0FCH+HX9BXMc+SfL/iFt
88VIWsyzNcU0a9T3toN2PMwRBuTXXYLcUKbld1wGisw7OCdVEwQXpUudVE9Is4z1egLIwfggrHw4
lJK1Q0APloT36iR7cUWfoOqah1JjXqyzMm0yGCYAo1c0g6/6RD/3pmujH2vjTePml6IhEK23/Wth
WK9ZOddteTmCU5jiiEFKYtyCDMwwxiR+9inT6JT6PcbxoBSXYUYNjcsZTCEiyrdOalwFUEZMrYOq
W1MOKJHAwEU2VlmiP2mN+eEkxKoFmCv400vKAfxgwulGCee+c6rhhtqjAQZ5k9gowBxbensJj6ak
GHIUljbimkqSg+6yCso8cZL+fWJ19m2TGp+2gYs/Sr+RGICCzMnQ7VrPXa2BS2mm7+FeBMS1aZMR
761k1vU6zRvNwHnh14uNS6rVTZNj4jPbdFPEjGqm0ieaK8xZzYyWNhLYOpPamjaWsckT+RZ0VfiY
U97yfa9YE5W9LXvAbT513a2v/KOWRCTCqW/GTOQv+YQE2U+UOnP7m54351R5aOAITV1bqsdWZ9n7
zgzdfVP4l3VI0IllZYwjOXkYAwZzTFhD3T2XafVDK3gFqkAEq/zbItdv6nBg6cfn3YlNZzMVNNvx
XU8cQZQBPgGjpoQnQh01DTqshOS+dWz7T2GEqHrKNJg6oP5XUJVXTehf5pNDrZffB/QI8cZyDUWF
dsigIF8E7clCYddj7KkrkEoM51uzh8ZXCBWgqVXlq3IoG9QQEtemA3zPQt+mU9pD/JLUWzlZ/b1q
KlSGMUIZPlsEzE0orpjTA/DTEd2O2amRUXAjW67JAW0hy4qC7WDqP1wSEVHDZOgvjeTbaEXtrk7m
uJhQ2ldd6L81lNBa4iKvCGvoT0PL6yrb+CZqCvCBJD1s6Zrw6x66DlnMeOF1VKbg2MsN8N+tPYHi
LmTTP7R5T9uyfyjrWkNbGn4YJtm9JcWCbWOj+R10Q2cOz5PSJUbjQkw0mh3PW1UzIL1WDbyT2NiI
7pqXaKyNmgi8qqX0YQ11uctgVNLGRwlL/uMpC/oGdB5qUoQcu0kAJ+5jTBXQgFSC0tipbXUwTMBC
tgivIYv2aLRmEgLdu60PZP3QkNReTujCaFZ9I3kNU1N329f1tDJcah9jQayqrwXWkfCktxhSKoW2
7H2IQRL2FQnHRac9Cq2s+dTh6QsbUmbZjCfNdjG2tXLbxS0l/NykwGPKGQOaYbYoh/uhMdCDWxHV
YrGejGI6NYhrUjtQl7PIjDNX5l10TopJbSqlztRJCSNeBOgRxOwYwvNYymrXNuj/+2FKjmPFF+1N
NbjyCDhN0fmUEYZnmaABSYfhOqFuf+wLGiskygDNIFpPmID6tYFMBASv8PKfU4dmuubEl+0k0EeP
WC0cAwuTVpmrwEYKP3bjua3i9Fhux17dklvFmJp5L2CDKeY3WHyd6jFxtQjNTHHv0NTKpgiKqMOV
WQn57sw/VceghZOoc9XzA6Jmx2xvGl59rbzqtbEAmsO7j3G86xqWbFdhQS7DB5K5bB2pLvmT6HJU
iRABCihPB9DbAW5Hmxkb1HzbcsdEzuy2lNZDXjcBOeb2U5RCNoyJ3jm2M8Gmnzd6n2CmCLJvoQjD
Y6gq7zhaw1MoAFXUmTkedWZ7yEvYVMIONrZCThCjgyJ1OdMPpUfi0lw9JLBwN8zBPJpkcVCyjnTr
XN+RKstN88b4+95y+PMlzn9QRxGNuc1yQ9cYTOeG+ZW7vf4gkhTIj+y1tYu3HF3kdzU0M1882zF9
nCg4jUlzdA2XXRrphM84mbnWPQGApPJ2GUxEVT2bAdp/3UPnuUzpl43lcioY82Y5BMtOBZ0F29pq
qvaY+D8CqwWxvbwos6574gXH+jacz/DE4nrQxMl04cw5hfa8iCgN0CX5vFn2/nIbWXhcNx0MRpUR
U5xcoo1EwZQ2MFvUlwnBE23Lgi6bv8uvTT3PUdvIDlYaHeeVVdLs3OszmXVBpAZJwJol03ZD3cBK
mDextJEyLcfRzGOdSqoxXmruHdEl6OplV6B4gcyqqruucfWDIyEWufNmShHyiqZMVz05XpCqgMUe
2wLXWZXbl6HMGSAcwziObW4el71KE8ax6J2cYgal2GBmxJbQwpmL2Sw5OFpew7LnsNRdOxYSrjA6
k82tH5va1Y/o2LvQ8Q92Cc3ESBD9BoRsG5QrrfEQmne0RfJjprvlLoxdoGz189Qzz2Otp1a0DUq+
wlxb+4HAsiNr81gYunmsTYj3LddQMPCoD6TBUDmjk2FdehJc/8wTS31oCgWC0oJu3Vhb5GR0rGXo
Y94Uvh/tdKJFKXGz5N2QNfrZz+uYZdPOe3rvI6afTApDf8PkSoILCdKkILJw5LNOx74kuKBB9So8
hLhxhMKZDfXVQ95M+m6gP3qc5s3y+S+HJiXFVFHM4eMOAOjN3wEztz833gBDxUUrsJo8otpkyoLI
CE1Epf0ub1G8lEx4vRkk/HUCLodjjKc8Hyd/3dbuvWn2z0WBp66bZq1kPMX1NtSGVxN7POO+PPRD
cfp3ZXV1aDViuDKAEU7egeIO8M2AKy81a+CTyY4QimQjcYdpP6b3kAVETJlwg7wanuPGeyhfxUN+
ojWlIVJFqT3PBWEux0yIVzia5Dn8Nj2DF3sfrulY+N/CB4XWYydHCKcr9QlEcf5RDjvKnnQQC3xJ
tAJI2LUIqGHiTrOcGuu2ecpm4BgIki2D+nQPT7rqAb1uW20H1THs9trddN285RyOyAYJPNsQuFTS
A3w2+PnqxIqumyf+K4deHPKv6kK7w4xGk1DhBkd445yjV51VDPZUjz+akDPgNxYnvFNNvGHmXA07
HCGGRXDAG2IYYDUFoNEH/fkWgNUmuiFk0rnAZozQ4kFQKRVbbOfxDJpyz+NbcGOcUacBLtjgj4VI
kNJ6fS+4nJFwd++821fGvfhhHv176vHM9WrsWCbsXXLXzswZGFaM5/j7eO2/D3jDv/cwsJtdcNaj
g4WBv131DNoOC8mtVRL4vALX35+Bz04Fi+6L/InzAAf8RHeCrtE5PcWvOC4LgkU2urUlWMOCo5Si
t8DYC+ChFRfEKEoUKFTUiEm5YSbGuIEk3rs9o7bYDa9BeWHffXjNthmRyp9HfN5uycVwb5V7T96L
dPcLrv3mJ+v837JW3eRR1tR//Ga48NyZF45Bnh3e//gN4Ylma0wnbOkiTdVt2+H+t5e7COnMH7/p
/16UQx+npo5RUzsWAsnKJvkUp3yfvLbH4A7KaYpuYav5N5Fcj2pHWVGe3cvpjTOEeS0avXRmu4zO
mlhAn2kT+WQzJzUOdqF78LMbmJ19AUN1bYqd8AiodZk37Awkf08QTVAGPk6f0P22aqueoXBc4gHd
F4/dbXynHorHhorDylhXHzEZS+5T+mJhcNl1V+mRaz86TI0TFmP93tyNdCR28pbBDK0B6RdcZxkC
LvDtmxibxh2RwNaaX8cKzBvK0snCHdU8ykswzAPV7LPTbbx2+1F1786DOoPjDT8xJmBokJ84oAj2
cE6s0tYA057jV8SQGoFySIsv+nsaCw8lXzpWG1jF3MOvGl6DQNaPlOyAYdY/27ecsg3txzvEZuV3
JBbuVb69wiiBV5facMrnd0QS9SwjJtn79BWt/lbcmo9QMLfeJviYXglW25i76CGdOY3Gk0vQ57k9
aPtwZ13hCyVjuFhhn9pgvW9uwQAieFbfc8giuF5QNm2QO2OO5HcqcQO8xptVdMhscK0X/MLG6xkB
8GBqqw/AZJHcMDtYN6tovQdmCeyTDnaIgfDUzsaLEz4FcOobnWRPQD7MdM6UyKGLz/QGTltkfFfj
mlnGWpR7iAwH3mKwNW/0d/Lly/3wwhKcl8oFfGcfy+fx5D2zrtwxc9syN98LHEPrGbRw9Wz/QEmI
QnRzjHfu5l+c+TPc/z+d+I6h6ZYjHc8zrH888QHZ1yi6jP7KcLsrPEuERzPGcHp9k96TMStMSQBZ
Zz+wzaBswmj0DUdSPRO/Z63yv3gxBCH8pxejWxaKZ80i++Cvv0I7bgan8rr+KjKoFfKPkNEw24x8
RCDacNhw/VjjsyPLmnVVcF001wENXGyW3/CPRNfLy/nfvIt/kXdhGK5D3MR//L//+zb8HxCM65fm
5d8+siZqxqsX9fHHb1cfr9VLnbz8Gnnx5x/9GXnh2b+TJWFZtuXZjmZb8/P1H3Xzx29C16zfNZvv
1pSuLk1m1l+hFyahF6ZBUc/0EGlYJnf9LfRC+++EXOiG5D/8x1PLsjVbt2i4a6ZDGfwv5zkFFaGN
ftids85qBnxhtKYul3myPy93vmbM/8PbljwCbwkS/Xquf/bUgP3FNg9QV4C0MsmRWB6Ul3OTZflL
FAH4AWREjo46VH5666d9DpgJM540+h35MtTY+uoh7B9zNzcO2QSwqqPQAcpDf1bCOPBc+J2xaxyz
rPqujpaUWwT4kL0oFQoSzCc6M/T9TQcSrBYO6Hu6add7kL7d8Klo+XlV1GIacFgNXilVl+2NXbgm
9i7KqH2Vj0c/64BpdY/gTxGbVc6lF1dMlr3YZjpPXATpHdvQx3Zd5NqGDgzynJFsoUA9Ss956XsM
x5YPya2FBlOMjjzaqJxWiSHoUVOYV42nH1rKwGNrvuuQQFTfkRkCtaU1YX5bA/hkLcgvPUEzLskt
aqqubK81QsnQNtJocND2W2OczWVKe03RJ8ZMHieoiBuyVI0YmpFjtwdLdJ+9hVUs6LP7REOb17ak
z/kJHV0KtSGeC2aN6WPAF7WR7jGxfCRaZu/uhwzQsL4n2ovYHRsoU3YF+9S78IYB8PSQ7rLx3Q97
b8vKjQljbKXbyQ7OxI48egFpA7njotOpHjLHgevuwXvRtOZyJEZo1efpTRWS19E220llQI1N73sX
6/eTQzaEZRW7WqrbqXCfsQuAmxLEH1AGpSBPRiCKe2rhoqsPQyIu3dg8mGXiXZie+dZF5bjpB86D
SLd+xF5CZb9HBpI6j+TI5luCwqEgaFVDZwUZMes14OlATSW61Ey/8isN0R+cn9hiFpcU3gSYlF4y
NTfypUrNe6GAzpsvMLj5kGeqogFrqb3l3QzdtV+EDOttqmExjKDyIwwuz26XqrXFD5JrC7SWNk34
9vLiuqAquc7cWHBKA0GLHOt6GjLnqOwW4DHNW9WYFDBYCnY902tqvY8koBb71iiIxOy6fluk4uAo
E7GGQtNcwoWa7LthJO8jCPOVkWLNxwzDT2CojlhT8ClJisksTCFL50TJKEeLN5qBSD6Y6G+kYq87
cbvipRLGUcrXtFKvIWCu3MJd0Vnyjq7Jh6YxNUfS2WZIIx17LCgWvxBRTWWhBtjTGePZ622iYqb3
uBtgRzS3VmcazFEgXCWg/nS0f0aQ/kiwrpM2/Tql3XM4lNXeTlAEFU324haQzOsGcaJpfnNpJq/a
nu9KGCVgqOYkPOBolIwYXy/c0fL40nDQdtmlV/b4ZFpy1nwDalVvabts8Mno8qNPJ8Eu1s4LNDLW
cyDB8NSWfg5Cm9CAfrGxWvPByIoHOofMTABhffVhEwmSTVnfIwWOMI6Mm7hybpNGeOvYD5ECkzJ7
obeudnSMXeyL6EYm3a6fw/90RyNXlZCLisLgkPObkPGAhYi2IMKhy9hMHhpFuZBfF4KoLQOAaet3
AleriV1bGbp1KsXGnKLv9gS1Bb8afIWyT1mLpyea6tU6OgYTnkzb7LFnk/l1jqd+x3t5n4LOujTV
cDVEPqeGUe7b0loFzYCQOCCAI6glvE8zwqf0jXh3as6S2N3Isy8D6b7KUuvPlY2cM4H67yPdih33
jh5dSk6wgZaTyFu7nUCamtdaNCCX7xz46ImL58QGdmdN9XgbdX12jZoVRQZQ0BLzphE/W14HptFk
wS/G8UIjozNuRgz6VtGj0Ifk7aIo1KcPbEB7p0PaXA+S3HXL+lH4oLfbS0i2yJ4BG1oJ/ITRR2ag
4PSx6NUrVszVTETu0VSjW1dXZhXd6Q4wp9EFQ9dWeIwmkJEWyISp0A1Wo3gBUj/C3tK1CO9d7wYO
rd+J4JgitbloTGIEpDVc6AKJMWGaGOJbyrMhmQFTyFKnpU4/xv52/mkNU9ufUxv2YRK/G0o7+Dbq
mAnJse5k6HfgT5Z998SAxK3k9nitfs7D/L2gEM7F4FwFLsupkEEXGdGtp6UNc+2zR9zkuuo/I4PF
fKaqj9AJQQj6PZfK5nP0x/aIZu8hbupi38G5yMmYBnnefMYDLHesWuvGldY5sosnzB2bREZ43EXU
YopFYoQiFGKw735OjSKsOLRhLXbBocbrjLHvgmjtaDaA8Omm9rUmhXNFYheEgCEk4cfSX/vBuKtG
zNe4VQ8h3chz52+pxdQXnpE+6mQAH7PE7KhOeAy10Xjj+tm3UssEHUKP307MMnjCNTkiMb9wUAmP
vX/Z0A5ES8YPuV8j3B82eUP3wFcfXpTVZAAI5g4G5fHJIgeA33LmDs9Nj3of09CLX/qAxXjuQLaf
hUfhwbCiMyK16TyhhhrVo2sE+pELkLSws0stBVo5Op92OsitayJs74AJ+SFOksaWdzzlrqQLu8Lv
SI9Do2GnGwHKlVKcuzY80SOi/aGICbJImULvCgIXGoRTluPJbe76gllGXpO8iWkJ+h9oQI3fEw0T
HPdR3l2RiIWyUicCtfM2noWAtneKJ1Xa4ODj7BNxwqrutXLXMKVbTXPksDc3sWuiKWrV9acRnq9W
yfLCQt/J7IIMTF1A1qhBmblljfeIgS1Q0SkKcgFUGZe+DfiYF4z/urthHkkE3xDiiMxoJ5sMx7Tg
+n3jDi9+Q1XKzWuaE2b/ERyFnst9nSUeZCXxbMQxdYxatifmCix5U6uY7Qseb8Zs1sjacgCv5aue
zlM8l0wY4SRnoakTgvDrEePgajKVh+Jc20gH+VurLMIu8EGMgQKLOajdiI9lVfNlEWpF5cG1irU2
xggXzZDrtw0dOXbLj7ZlwKCe6qICRzTFWAZfYNTDq9I2OVFK+tWWKeJdI1V+2YRA2nSIsK0DZUYb
YqhmpvogTjw5D7A94jlOM3rP+CbLyRiZX6n+IEcao31Ko47E8fHcS9S5rh0Q0SOgVzrCIPOWmEpE
qdQcArmJcWPgJGOe0k/Ex4x1ucV7SGxWn6Vr/Dd48wbtVtQmHqYybLYVTfldF4d3WVElZ5uozS0G
P6ayDuD22TU8pkDQCC0nwozTM+veZZ28T7H2WlcS0TrCiMIamDK37Q+CdF0cMy7i5RiE8Mj1fWPb
4zcaFfGefslwWfnmgzcR5JDnAJkwTdl+926RZ42wVK0Z1IkdSNlUI/UGz4CUFtE/M9s3ownsa09G
G+URXeMU4kEpt7iF5hv59oH2OfzjDHVi4LmXZR7l65iwPXgFBWguN9P4uoP2XMth1gPCjyP8ldiN
SJxS1Ahh2qtrGw/Uzpbw0ImVU6sKHw41TtE9CNiYeVVdoZjBtGRa+V5LSafEqWhoJKGGIfKexm+i
qzinRzRhulxJ2rDk9alupRVU3ggzxZEZMrMxHTQGZNJ4DMpRQSRR0MFfKT/wO5Rw4ImbWPZao782
bQ3YjyDlJZc9fUTZj8wWbDpcef9djErs+mQ8W3ZrEx3PDxvb9H6Mx5bKMO0ZjLiULzU6xUzSrwaV
mAfpztN2CTuElWOxN3LsuCLwYfKTOhZ3BZxWglFja/T3XCjOVS0bFABjtK/96XaMO38/JD7lRE0e
B9mYF8lQTsi35F3aFdnaw/Zw8ONSe1SueTMLwQd9bMgeC8KNEeOj0kvkIpp5aoshvqRLcqkYSFo9
P9f5pN0MJSARfQzPrek84zahvIUgfJ8MOR3ayT2pory36b9PWib3hrqrNXdCpDlFJLqrcutmyt94
HsZrWv0gNTRfbnt3io+tI/Cr9HiqWVlsM+goRqrp3xtj0zFzw96t+ita2/l11p8D5A4Y4Jmc5nPE
oJo30xwxuGz+cpubpG9RwIzDx3R5LNyOy2JA6qi6EFWCc2y+VSvkGutAv0d0Pxydwe+PWprhoP46
7lSEfIBCsekZ0AI7NYJUzoLPWJtYrk2oNenrsclVMKZQPYxTUJovUWPihUAkijOjrImB8FDUXwg6
UMefx035EqATxftIUoaO5Ak2DNfaPfaJdUWE63G5Y9lEJiXnDn9Gaw1hd2Igt/d2DGFgwEoL75oO
lbIwX18su50KXNrv9fdw7h2hu89+2fRze2u5bRTitrRsCvw12T7tLKSEFwGbdX66ZaMxsLMAkbuv
m37+BxWwcb0LxXqYuzjLs/kIB8gsmP+zrxs9CzukAQi7mztw2qw3ZK7lo7icdysvmA6BflZ5OmvP
5ihGb+lbLrv+3OcsExx0YyiIEkSHyMIDd2ZTD8RWUD9IahR2XusTHBZS26XFBpdTx4nHil9jvVEG
RXPMfRuGaEvWTqjz0S8bMb9D55yUdgiAZGLG6GtEhxkx39L8VS17gzInfUNp35yzIau5J2l6IJaW
vUKzIR9Zg3xqGcE35pxD6djQLfICjzFAB4wevqftuS7gCTINsjqzlC94OTbmhhvzE/jaAhFDQOJn
MweFLntIJtu9Ldt1q/fQRObNsocsj5aQMTyjhqw4dddNA6Q90s0/T75lL3Ij3nc3oMvTYxRHy9lG
B9bTN8sb50uaT0RAcjEq5E00v+NmPtVazx6Kfa9S+oM6CeVJWB6Xjd1ZxbGwivLYI8PqtSDbLTdh
v0OKzjL0Ism+2UtTFBF1cXTnM0if95bDzCqqzWC27zauQWCsDeDYOTEmns9MvGw0WX/uzscjJsF1
4imd7ggiR2+RJNbz7nK8bJbDSfiUl6vMy86tYhm+SGi1qT2ziPO3y4kjWDJsQl89haGDgaGa38Hy
hpb3Mty1uZ7QZI3p241ZSPnemFu6DAjFMTboKjm0BMtyqo9SyPpYRR6gVNeKGUqMO9vqES21c8s8
zhsiYedNwg8Foyk5KIuecdksMsZlb3QaTvGv4+VGbbnR65J+442skeffyLLBDD7H5c3HTWuo6mnZ
/frrqTbVoYZxX8zEjnKmqvzctUovZRQHVbXciH6FNkwFlemXR3YzvmWYN8ve8sBu4DpM9WZcBRqn
hAEqvrDBGC5HmsdJs+x5ZvVUtg2pA/OjqoRS20YLMHr3U2GvC5FF6zjHWmoynf35F/a895dDkAI7
zG1y17ssUi++nt400b0mFly15bNdPlbP5eNfDpfNolP4OvzLQ8Ic9XGXMaLb82+RMhOnYa7D+RFB
hQOBgifLbEtd5yGD56CX8P2DgHOwnkcXabecmctuORqXkYydrTfc5CNGTKyT2dFfBqclfRUTCN8n
ZVz6f2j7Lpr8VizfZjt/ab/sTvNA51aspKOww3s8D5JcwtnmXmbtEzzOS4qv6XQuIhvtO5e+4vj1
8pfDJex32Vs2YVHSPG3NjTGPR0vgbceQxTn892O/HzXIkWL38+3Mb2/Zyxg/h47EYcrE1dog2/zn
G17utGuIjAU1KJI7RlZ4kFDCeXzhBxRW+2V3QOezoqbdIK9i8FVIm5Hvs7ccDkHFClQBjTk26UvY
692hs5CBLBuTqz5j03zc6/gBMBH85SScDx0C0Y/LOWlTf9vqvXXzy/m97FKidy4SnBcowfiCCzNM
dqmun3553HJma41+pdvC3P5y8i+P+fo/Sr0A8KkKeO/z/xuFc75yNjCDjSy6YcsLXP6kdmaYyUC0
+4WroXCKFyH1om5exM7hfB38y+Fyh5mApfjfjszSV/kXHRndcl1Su//rjswhe49esn9oyPz5N382
ZFzrd3LETRulikdzzXFprfzZkHHd3xlopGVpoJVo1cx3ZXnVhH/8Zum/S5uOiSYlvZO5JfP3howp
f5fc4XnUEl3PoHH+32nQmN7SgPmlEYlaytRdng64kOG4tJP+sRHZGshNJ2w+B+CDE/4irIZ0kONI
XftjCG+SEnkatvKqjgf4lDFLOmt06bTqCOhwFQKWsHZWmvXg9fAMYm12jm2f7lTrUDCtXppaoe5M
jFdO5HFtZfpt5RjWsUuil1KG4bYn83yVW25zyimBEubRIuVWLFp7J6TuTfbllNN0KLO6PjTDU4P/
+awhNi9aszuNfYDNw4BmrkouOxK/nKmoTqUZZIqxO3f457dajoImdbVLst1JYzZwKlOYfsXaWa4E
ssxVPWCC9Wt4xE17J5ARVB71Bxl1DgJgG04r6t3GNMlKNtCwhBg8R1v+yMUAS1rp66CoUiqiFLZN
xE550O9YPpGo1RHRqUOWruZkLAtnoGM/xylBvEormAIWn913T9O31DrSU5vHdJ0tqhhGaG+8WMnd
KDAwOwJ8E/YvPuKBeAn8d/u+0jep15soacCE5xQyNFKUWu8DtepFacizSpNdl+nXGkXRXckYgu62
fLTLbF0UCaCFJrz09aG5suL2TOcC+k8U3uCZSzdGbr0GVthchxb0SJk45T4PtHtxr0I92EY1EQQm
FvclTN0NdYjemXfl+dQNyvYzbq49wwi+s87M1wpp4tqUxltLDwyJY0tk4pxy7UXTlaXanZrk3RgV
ZGIqy7ku09sEJLDsIF07Sdpv6kkGN3XayINqxJ0wkZ2WefLulDbD+dRWcD+ppcWiD3aRVHd5l8Mw
1fVpH0axSTEaYxAt0NvaxTCfsrKn0JW++blHdK4sdk6GTEfve4ofUtQwS8S3CM2Ml1XmbRiSy9uy
3tpGY5CdOocXnQF7rx9zgCEHIx3vGib9azPv64MviTI3nOKswyD2ah/RqQmpbKDzZdgjZTCtD64y
LOcbFiDtptGc+z7Ji++gV8catk4KMq1Ic2vrz9foLiDSOWvSZj1hR5wkaanYAQF3tVS+RPSYFPk9
iJls7Q+Y94263opU1lQbbGfveEQ66kkGsTfEdU85JzNFiyaU9lccTlcOogfMKg9tB0nGJwppCozx
EEPh4Iqtrf8/e+e13Di2Zdsvwgl480oQAL2RF18QklKC9x5ffwdY51Tmre6O6A/oiAqVRKVoYLZZ
a84xJ5lpG2wCrMnqbJhqb4/54rLICDOWDeMACcjFrkDRPEsHwrSz8BCJzUc0669dM1EvGOBTW91N
jvtzPBFtYi7hSUlbPghmoB3S6moMsXlK4pBqFruEldZDROoN4u2ieDtklDbnXvYkFUC60AafQhqy
1aLWY83Zl5Akp1AR4BfjRJc533C9QkYanEyKhoYJ5H5EkGiSlCSN4eWlYBDrzjipyH8HZNZaRxhU
ThZToRbYYii6umz8h9bAYV21b/FU7eMOBkrakFBrzl85kLN11OlH1H9kFI1gmYagvXZa952IAQ0a
uVXRs01rQxNG2zeg6bSqgYbGUB+qo8LhUjF4YqTpMEYreGjagyw3p0AS13kwndqK1OM80cBnEiBo
4EBjDYkWr2QAUjW20RIAoL6Nj4JCkV7Ry9CB3LXDqkMQuwSNXMgQ4VHUl7g6ttAEN3EAUEAI9GEd
59U1zI3J7rHGLpl+Y6cpRzVlaIekJKB5C9e9pDxQgXhHD09iQJbtB+E1lTtQlWC+BFVG1MG6EUMn
zuM5Ua+CBZCuVabgLWERZI1lQ1ZqzhiB7ScUrbdwGDUH9zFFGLk3vbGmxlDJpz4KiQFMihdzKinQ
9gjFwyTfwEn6lopiuFqUdm11Np+yXvBpNLXmIyWRVRBlg4eU8uLP3cMIrQJvi0gQct0OO4txXOry
ap1g2Vx1MwED5k8gRT7y3e65bIHXaNG32Y4UArNhVQ4aqbyU6bxY7d5mupfNrL9ZZXwEXPWAdfSh
FatfqokAKeqzlm6JefBTprxo6trdNJ5RcLumxNo4KEfoYkLZO6Y5ktbVeQGVTzfGJVuKp6GJCOSR
CJUPpfloSujS5jIEZAVSXlSRjkrCQUlQsSXF/DFWcenNUvitzMV4iI0faQ6gY1lbYGPV2tSVLaJ9
J4+l7moooM+r+az48fwAt3FJ8PadDmsDRyGeNvUMIhc7aOFFg3aOLYKtNAMZOXQhnB01GrJGWyls
xe1xNB6DYaJsKIrA70HUjhrV+LRDHtWhFQjFuTrQ4/rw1XzxtCcvuiEOJ6vUtkGZ0U8rx/IhG6NN
kpipp6qMBjr1GzMKNBga+XWAFIhaAdUbrlbYwDUOnkYsv+lCiIc6IZaGlbgPban70Gu93k2UZ81M
Xup91FV9U+48raNSlVIPilsfI5GmUE7wrWKviMPnrGgnEePki6LXTqdan70RjE5bmZpnxDLODrBN
q7zIL4Km76SA+Tay5l9J331S91S9Ro1pbeAv2zMo7eIAcDudBjAS2uMUW+Na8PGr4PuGrTJLAwiQ
6klMWOIIGaI8jWpZKWGnG6lZrOV8RmuXCGAW00uZMRcKEwhGuRB98m+fQqw58IAYztqlmlnTHY11
QSeXHURjGIeTXSaLmioGRjxKP/JYl5CF9KOxIJc6Q19PBCuEMxyABLH8Cc3lLE2bRCErks42qy9F
NDzYYQi2wySE9Q8SXaAUL01vTR1ka1x4BNAGCdayEEhPKO4nQ7wABaG8Offo9PoU9lIv045CKKgb
nXEMehgfaiNI1LgTHPtq+0sKtPFQURwFPEqjUeOTwF6urBIHav1rNMiULKTiWVerW0sBbJM0TCOB
quhOiwGhaNPHqKUVymhoSoPJHj17DaMKuGxP9MiUlm7Y5wQw4txAzDBCaRTmz6hBHSDF+QnBOi5r
jVAPKVJf5FaSXaBHrN/c3qpfyovoC15hIjaOWgCoUonQ1WyxqsV96nTBkgBQzF/hEMsrmZUeSVDd
HuRrsC4N+B5piRK8TCqvhBS2ymYQ3iBEWMShb6FnR55mCkxykgNEyZPNjYLVlsDIWcKlUqC/Lbpe
PKcj2e2FYkJd17ttr0UDJVeZkVak0iuwBinm+MVUKvEcZ8dQsB4juvJbJWoh/koToogBMX+zz2KT
MvkU9et5hnA60nmzppeZgX4kXG20igE0AdA8SSLSUohll0KPAE+JVaAxEmVQV/K29cGwZOUJW8Pt
Hkk8scoHvYqKIFb1aIJ7rlXeKID5N/JH2UBrMuYmtBWlpiJrTNTNKC/DHqPw3DhjFv7KaKftdJCb
pNj4T5EaPkU+eICpr8mMwrSAHlit0VUXJO+YftTt9OWLtviOXQp9//75/iBrbAkG+oNyp/r+we2l
EuIEmB3AwkUQejU8tA7MOgpICWNtHrWiq3X4mjrKgMwi7M2X7/67H/+7xyg1GLBq8ILe/zaFBGeX
2Hns//FZ7v/OryQZke1IohIrIuBdf7+mlmTAhX//3LKGXwOTgDb1+zd/fPv7TQU6yRPIxmC6/P1s
goClMggKfK4mi6m/nvd/+ymlIGTnhW3D5ha4TZVOSNffR+mvT3B/qqQkiyZT0IL8/nVR5zrUh8S0
G5XCp6Wxp2oBdWv3S6FeKqT3XxTLFXD/jtoIiU0+09nvX9Q1ww16ViKhcNZj7gOPrEszl1R45zjd
K9X3L36c7wsW8560VJeWoe6PL/fHLIWsmiCnLQnec/baLt3ISy3/XnRN0hEwOCZF1ugyVCAxr3Ch
ZumzvJxQvE6F3S51rztF4F7av3/3j8dU1dwgLuu8yWDdskesk9M+pH0wweUYtBKt3VKnoudGpvYd
NoBXzFiFMHR4DUDtEe1XWDHQj7KRVsHfX+7cgmKx/Px+rNAtNzVmzfurGryU74KZjFd/SA73cvHv
x/t+JMSpAIyzdCA6o2THnfGad9aCFeoPoZQXroXKE5lyUOE2uv9GoUavyH29ub/hcukP3L/7x4/y
NHUuMgSu6IO21OeWd5A2eOzvXaB7q+H+nbnU5u8/hugLEGNTDL83f+69oHsB+/7jX49x3a0hT3rJ
9jK58w7N/wrR0aIZRG7lvorWyqNhumrCBwJ/3OQAX/L4Ou7QC28nl+zoteb1qImBkKAI1NzLvHsd
XA9i4UrHDunAGZ/ig4V3Yd76j16f7LIDXBsPhr+jXSl+uwecGDaGVLudVt68a9ZI0Z335cUODM7I
My5JvX6NTfswkjL9mhvrV1Nw9fP0xQPdmhcEOfdIvMhc/JIy8CgkCa+87PDqg8+jfEBcRmeHpg06
Yssq+Mp7kzyWAFeP56ag/4MfcAWBcTfbyNORwJH6sS7qdWk9gnW2Q47FpNh8OpLgqqOanzksc+aB
vS60Lw7PlIjOPG8t7Q0Y+ngbp3NuDc5MgzaUd1XjtL5TTK4ouDg/+owCPd7Oi25sCYQb560o6yxy
Try2f0zbwElZqQ+XweWUwNcbMKnGhzTZ9PWq/8nh/lpEtmGPtUWJDPZX3kdy6EyPt4G1pJ6WbLzB
1ZkUtvHAx0JWhAcSCJwZOHzDj5bqEqtKCDcJEYQ1tOj5ziH+ymFPwB0ReJwElgS6dTTZMH8B/ZLx
xhAQqG+kG+5NHgUvVQ44vNZ18ji0FYxAWwWiSmYmmk2YSrzYeEIRwlko3gj5pJycdDavXjRAbNc0
QAMi8jBqrcXzzLx27AKHnD0uC1qqSBiIE2Z8guzXOOajea6g1p9TnCL+6PA/9bVwZI/xTr5in9Oq
tQ90s/WSl2myoxflTDIaobVkUK3Uh/yIcoeQ1x0w1dUO9tHwxA5TIrDd/BS/RLpjHGvTg/B0IdaM
A9Z/05jObxydbHrxHxgVkRaRBP/RObMbPvXkzdvT56Z5El1nZGQ9FNuoPrYCLJRv4rdlIqts5QHH
8GeeHUHzgpd9gYNYByMhK0fxgVDtdbSGJPuDsxkBBOdrtk/lMZRJnMmf0/IgbH9UbpxqeO+3I1mz
8sZwi2yrMWKQ0E7OFFd0TwhhhQE5U5Q1Sxwt3Sk/44/CO8cuFH8sDhINc42xVfG6x0732J+yXyV0
thcp3uJEwl9UEmwEuPpFL68WnZOkfJIyL6iuTf7On2O5IBOR46GeGzzC9ZqzDomWi3ccbwIA0+nM
9cgp6+zXeSd+eQum9o1ayY3Ywt7u2byTeNo4XEjpvEFYlK7REzUPEsGu+ZnXjicuyHX6w+kvISos
IQI2JUS1PHJxkdgTwnvlQuPMmo/5fAxf+HA8JTdEyIk1mgfwzRXoMPIGkcQJLhf+PB9zlWAUaI7o
HWu3Gfaq4DIYTPKP0LOX7z64kpt6i9HbEg6kLHJRpsZaKW3CHXmwm4C4Ldy3XXo/SnkCN+e5Kp+s
8guNI+JLzyLapd4W9ZZmh0Fhq3Z5yig+CPUnLU2VJ9Dw8tVuRuAXi/seMlUuedIwbaTuQ/EvPaA+
bvmsuiYTITfjrcrfkSmTVHaRy6P5OEv4tDGCc0YGbHHc31KOyz/e9uzFQ8njKZDwvcLMLF6axglq
FmKEUzBw8Zlr7snEJXSOMDCMhLb6ZRJp5Sb1tpsv1s08c4axTXNce/uDIM1zuzpF4YPmTV/cwbq0
GNO4TRgWyIdsqbpuMus8qM6HcsVGs8L6xlCeHLB+Sx7fcToMr9+BkWUMZox951LiNTxp130xro5s
iiaHP5p3+Y/GDw5v5ZC/UGeaXJh1EPz4pAEm7dCWH4VvoEJcPZy2aDV9iW5JICssJzVhTX4ik/KR
oKIjmjGuExABCgWDzFF2XIS8k3E3vdFfOnEMqLtRxfBm9a2DcRY4/nlyBwjrT4yc6PLqLSRpjpbR
PfMWSLliZ22Tf8fFayIOcMnDnL4YfRhKR+61Djo406K/kXaA9Jk5VIjtTmRDeMJS+MJg2a3Z3JM5
xP4sZNbyl0DR6KCfzYSZlKteeFZbL/8RbgWTu+D2O04WZRz5rEtrlTxQMKesS3Fp3t7VR+H4jYhZ
/OLQofSq2DWuuZO4HZenj1+ppDDsatF29rnzbX7LUH1/eYWMeMMuDvifPoybw9EXno1ruxrezJV1
M65Mf5xHw+MAhR/DF994RAHUyyyCiRDWCQFkzMNM7CInepkJl/BzHG/CM9gCwhOwL+WXEumyeY6N
NZPZfJ05o1xavNd8FdnZgY09lwPCOU6HwuFiKZkAysB7JX59cOUxXZDRvGp31YH5yzxzlixQh/bM
TEzsqZ0cjGvG8zEfeK/GjW3YAWweQkioKWsGBcUTz8JReJZ2nCT+e41fRvuLg6A/jjbnhcOkHTni
fMvn52Nx8TOF9vRiuVX3pUNvFuX0lekF66VWvKQv8iOnsTgwPfuPxrElvtNWGKOgrTFkcayMI7Of
duUuyw48bfwR5nuZ82fLxGpNG15x9pjKTBCPvOnB4prhYmFPyl8yVFJndRlFm7d3/pg1CnHm0L73
DJUBHpNNdODEM/ikLwyD0o47j37JgU/GGPDG5K4d3/kUChnbFM9WzKEcWcIDnUZweSnj9l43h4gJ
9cYXKp6TzYAaPHHZZ1uQGcaV0LOJ24jzkuPPdcOPXNs3zJPb1lHXjJJcrPR8eAOGxxHOwE1fGf/5
q3G5SPXR5TJLf3hbTP68BFvxeQPhsPQvzRe3tW94nJUc1Q1ht7jpWmRCa+tINCCJuetWOPCXk46m
+3G5SlXs4wQRkMWkIJytthSNRxYLqjtc0h9q8SarveABwhmKzHl8pH4QUnjtnpk3W8bU6obOhcDa
4cIhIKf5Ek8IVb2ut7Mt8d+Bk+/9DvzSauSqb1F24h1vFiJnZmAi7Y7Cg0ExcDNyiDUMkVZzoPjR
UyuBj8W/qztX7fV9GkabWWELv21hoEJwE+0Swh2Z6fpTSfsgXfi1pBMfP8xHNukYVVYMDeMyyMlA
lu1hPAXG82Wq3vLMQ4EV3QZOvEg1AP05AjqhsOH8JG27JTLgsBx8Kb8v0VwChl/TjMqiy7KpJKHH
Nvu9/ChLBx2lIrGklCWGr3GHuNCKliJAadMReWc6HXiaIYrhgParmlltJBDWLaxjWbxoR93alZxE
GiKS5yOHy08Wudf9chkACCpBR/FKz0EDksw8hbU7TRdW5ugiZfTWXK6siNW9uhYVh9iGkpUr5+eB
/N/CUbJ9mH3T1xZemFqN55gdJRdw4Cjcp8Ga1g9rmuUCO1SMI6z1v7hmmc5ZZ3PtZpvRWuNTVt3m
vcd8zcofyzI8dM2t3pA0ImYHr4d1aBOr7qi6zIF5vg/NU8uP19E8SVibQFrBClAcz/MY5Nr6QXiu
a5crrXhjvOIKGIkfoaY9up11xGrN24rKI7gnrLkeSKCZUYBhZbJxXUvylqYgOwxWK6Mt/jIjT0Hp
IT4N/Z43zI6DawsiLixL9q1b0qszzL0r8wlVKHVHFunMGE23kU7w6VkbEC4QshAemKBs5UgejBys
s0PzNTY/Gc4E4Up3D5fs/NBqO/lJulVrbkrDI+YrwWFQ7wFlmyyNGZDVnaLOK58qeyripqAi3frq
xvi0aqTaavheyboTfyz4ULYykfWYxjutfUkIPdgFbFHdKHuY6z2Hwtxmt7LYjsZO1dZx7YTA4eDM
A/Haz2Q+XgWHtaWjcXFtWNjWDhdgi3w7iw4iCxLl2Ly33O6Zx0TKqrV90LHb04OzO8EmOvJE1uMX
t1yBq4vJyiAqgefWIKYsMWDotdeztc7zJS4CpfIr9aaJejwUZapDX+0P05Sxt4jnZa47MphwckPV
a5MjoNgAKgQZncfhSPGRZmdzFYmLzm40d6sdnRa6J6ErUkBk6ZIRDYGUFF8//gl7qh2dlthAuVbf
TsIKqKxgjySJZic0q+L7Iu231iO3MkSm7pdJGtoFaHOouqhtYx4ILy2aju5loNOt7WLhLeGyIZhU
OQrVnkcmdt4vBUDi05S7kE5VRn6S68a3UcPtgZx8LXZOY33rOqPQe6fZUunFxQ7JS0P3KCb23BXx
7XXXNjxb4gcNdT6KHnllvglYPetrA6wvSEHbfHoAV+KGp/vChLhENkc3zEi9bTxYmpd9B8+YHRiD
AFtHe1Xcx1R25YqRcdNTCGDWBVpHGPohVliGeODTfgUU6R86cnz2OdPgKn8VOtinK/8JQxLQ1M7t
QqVYFwQ0iDGCf4HAu6a/ag8NhWF1HVde1nIntSSHVjeD8ae69RC124CdU7hmeY/f2qpt7cG/wjBT
fqWKnb34N1VgyACigYfnMThS39UeLCRm5aeJ9SzflpU30Ix8lLDX92uGMenmH6yHtpIA/6KSqh2c
IoQlKTdOs9pvI8+UD37L+DLuGH+4FAyocEsCNXyVyjhoJMPSaK/3U3+NtEswPM3ksvVOEU5eGL6j
FIfNT/JWheOqwr6J6OAgkfV2Tr9mZd1d8/fhVqVs5dfMwIySe4gUmMgnAh1X1q45LEKp3O5BAnzy
//CcnuXn9kIjprFsdL8Uo/X+bPUnZA8+HJvBHhkvYkc4ZoB/W6ei0obw4GORTkEWQK49AAm0kS7k
stPY2qHc6t6049hBf1n5t5nAbu0QMro57SGQGAl7wvaW5GrvGGzmJ9gfoO0tHN4BR6TfNsZ6iZAw
yaPF9GfsNnHJWpn9HgEqH41gXkTcBetyq9rFzXIllzGTydypXghAAu3yTJEF8wYypaOqscNAzLdq
X1sYVZKb02mncEcflQAHAsnYX21I9WON4q910NTEBIIfcJN9wILeOgv7/ZRtaWPo12BfecGz3G2q
eJ14SbzWKMydGU3V9+Q47jWilzdZ4igbZZ09oBdchYeQ4WwN7kPYa2dpTcWbUSHhn42HIqfX+QH1
UuTyIXw63+Y0f9b+e+WJCItBGwNu2pWeCtMAoWV1efRP2jo8GGeBksLKOBdOsRen1fgYbXDshaxC
5UP2M7K9O1fjenwC0+3qgx3Mb/p7cOueW/i14S5eV8/kMDH6HDlZ8XwQ0SOA7iQJ6Vi+Sg/o2Yvj
lJzAGpIhXjePnGjyGBk9VgSG4P6MIHyC5t7UBUoMFltecYSMtoyJhW0x5p/KFsaD4TRv8SujqPhO
hyzwMD3g04xixu99oaLDWFW901W3MnoiS4C7WHqo1MuE68RYzSokxJ8l/qUGvLQS6y0Eh5xVdwYj
hWqouHpn68T0xwpB6JdNTFYg+qhxcdESXv6/kBUxTHA3H0wn3+G4y+xmCwAwYcyE1kAm+07gvQTb
TFfYzsM1teFvHIY3AwkCa1rzNTtEXkZYVRdNXv2KRqEICJ+3e3EVoFDc08xiV0VLh1abiTBoNTWr
7qqa6+koWza0ZlCJqr4Siedtt3m3kQloQ+spcbfGzyw32aFPbwnZ3mhpu1XpGNZllq6U+iHbLXt2
lCROxIsUWMtcqhnCcXI/uArkFUOckXm0bab4lkO2s1snPIUb0rTIDHpjWEgM+iar4Dnt2XsaTvtK
ED0Si1X0Aj6NpCn1WKz892X0Dp7JDWW8cse35Cd6JbOdKgzl97X0pVE9WVubZCJIzyY/VmwOyXRr
flIckAqKCcZx6yjwcUgnuQY/OogKBKuU6Fb5QarWtMVpQMkNLmH6fJs8dCBub2kzoQ+ifIACiBUC
ozyKjhIg+lv5CKuuwRq00jbmlkX+41ztGjt7iLgy8MWXH8W1xmFYIsbZo3+iOGSdwrMKaz3fpK8m
c9Vgg5C0jJX/K86x720zExeNooGzDtegT8dd9N6RIOIFyrJ7CV96yevkNRiT+EFAxsT22areyxdK
ql9tfGWlJXiZeukIVVRPFmpukqPGkjbTvGHoSHZWD5yaOIftcJJezfdOWHmVx/b+wC0JGP+xfdXf
Q0ZRWuJY/PHmup02boL4knSo14jwZuf+zRFgF/iTneTiW8M82KoH5WFkPfFsYMfrj8mHzL43cGYu
kWIlueT3wOpzaBIUtJdfy8/ys/iyjpiY2NlT1zgjF0AtoFSPi62qG+1+NTosVb5ja6mPDNHFOil7
ro5oo1HH8LTzWF4h1kS7Fqzaj39oP6Pn8rV0llXZ2X/KlU0AV6MC3L+SMOTq/nfVwPMGyIgxdXhK
IzeXn82oXX23C1Vm3gR7SgMG3BcHPw+D24oVAAPwJvL6z3Y1r3puH541JAFzjwt5M6JFWJK5+g0j
SXBleXu0TuDZnyDGnxLjbaaM5orqegaDhHjj8YG4nhv9qtCgr/ouPlJje/mgAaQvo+1L+MoSCps6
enwbZX71bF5SyyVID2Myw37/apw0En6Y7hRG8mSFk5B1niuzj/eyo/Y6/kK5W9yUh+LZ33YEab1G
u/GJK/G7ii99jhsrflGDnfHwpAp8tq/Kjp7JdzvBwpzhy5ySnXDqmJG5FPwLHrZ5XXlwBAo7uGVI
FlfnJTRCdmTxbd7rtr5jcUZ1I5Gv7YCDaNi24HAL4dAKwSVYGkBBNrL3v39LWAWg6RpsHBJNyw0G
qE1i2yf0jNBWT50AMFbraX0MC8Bvecyqon2JjsfDTp7v7tpcJBIUZGSCfRj5hwm08n9+ky3f/f5R
DXp0D+JTKwKnb5fu3P3v71/u/7RVF/X2lODSUUbYaP/4e/yV0jYYdtEikW8Fvfrry10xf3/MLweW
6KGpfVhohhyd7TD2lD/+6T/+8v4c2qKj//1sRY2pLU2aR4TiO1CioUOjduNXGInuX4JqeY37txoN
e8m5fwskndQdQ8Te0Izh/vc/7/9+m78fw31R/fsp7g/e/w1+8mjDVANa/z8vdX/8949/fReCE7X/
8ZtEDcEdNUxNv39hKnDyVvefC9BTK6kEJXd/ij9e/v6xUYQSWS1M3FZNwAKSezorrd5BGUXxa6nh
RvnkYqGloFdl27ivNppmhGS3EoImK9UxyBZ+fUztaoYolgisR4fHRrI2Xcn2L1FUwuhbjdR59lG6
tkShka0Smg9RIHyaSXtsVPlmkdU55egoW5KDa8FCV6u8hkpNfAMtCwuoLDsg6j+TQLwQWl7wHFY8
U2s2vT6TJCrGvUoCnrQRa2QFGPVINdCQyYbJazoQ2w1jdNtONRo88am8a32SHnKbOj4r5P+tpCJ+
BK+5z3yWZyIetH5ax9JGji1nVFlbVsklzt4AI7sqVY6BzRuZDluhGVkqws8Lh7R2LWJgyjA6h01G
qJPB2KUEl/lDNNWd0eHkxpqwU7P6uYyED1Gfr6CGyd/9HHqYnATABWgEdEs+kzFRwAWwiNErNNnR
u/ZodBIF0Jmijm/cRuSihDjkF6Rm5B7UpcbmCHUkOwC6r8wimkWKAWK9UqWgUww9+OL0BA2QSMSR
BMRS/oWS5CgGxluQIGGVu9kbky9J2gVD+pUPNYCBfGYREDboV7ufMDc/aSPn+07ESl6I8xKCFrml
sJkrpImaxna6lZHptvmrgddFaqVdXQHlrHQyI+izzD7uXvmhqfvLNJFWP9Soo/LdlNARAsoR4l7K
WqI+Bp21GMO9X6NqVOXnzvJ684kAjpgUT9nptNmTdMIyqHm22o3D9Nkg+pOs9CzJ8afKaitdsjdn
Ai5lcnhKqh4Zx0yJpe8y7j6bQATGN6us9pjja0QuHDHIMIfWANco1BqM+xkOWCvBLEM6Sw6Xoq/L
8YrXTf2aiXyvfe0ha6e3rKypg1od1VQlRWeUf0sBMNSwE/ZkKq8xX+ebpDK8EYbESiPRizBZ+tQs
LONYgBlZxb8KQLkymOUgG55Lk9l1ajWig/tm3BK3chjRA60bjdhmoS5XmZiWp6gR3+cSWHolmwLZ
eewnM/llxEG6bbL5lugzQ4osoZXB744MQFijDXxnr0/3KbClFOVlVMeupajfXEmOJLUv/mB+tJN+
9ulK4zmT7Vkcn8ex3/cAdmu9QrmL3xHECrDb4BGi7i7DXU7FivIHQOSH8aXOKOikVi8TYdM4pdzK
dhCpz0pnEnWhyR/Vl6hYP1WS9duk4HCNwExCg2g7TfLdoeLJrWli8ur9fatFcEMqgKahtiNg7zSL
vovC14d5UO+tuP2WBkte+2weCIZ7Rk1eI8REfTtVwXHutQ89R74wFqyj6YjNRCk7Qg3sxpiKXzGx
jJOvdOdELEwwtifEz2epghEn1ZPlqoH/4ytDfBi6N01imKvEcaeluu5ICt3tEKoLanQLQG/2Uxu+
3VoDs7hpXmtiDElBZEHe/6jN/IjaOULHwLYQPicEyiLe63rzGnXsLjJ5wMKOopeONc2O1KwSp3xJ
pUzzWm0+lYLwEnJvcnSB4OoWkegCFZlI3JrBRK8S1HvXxbdpkF5xnkEGrolCFQV2zFGoYU4geKxN
MGH5DWlmjX7UTGmvRzLUu0kkgy1lpToEl+K7r8tffkufR6MBme2UcBbXlRoZdmgEtiH7dqcbjSP3
BHYZGh78Iqbjggt6Z5ndrZjpfmoCZU+BsWdTpz4VszG6hGl108rmucqHE8f8NNcyeWX+euxiuqY4
rwKTohdYftIyL9k8e0JZXiKVRB1CiaGCGDiz/Sz6UcdHpRgJ1SHibBUX4UVWlQRpcEpFXkwIi5CI
skRhagtaj6JLF0GzkSUv9umXUJiw5Ob2R9Upb1VptQ3U5DNh8LZbJST0bI63SINHWOps+Rm/0wp4
akmeDaLw1WS0j00X/bSRPF2klqt/DlCrq9ZACYJZENlD4WZmH1EeBCcfN9VbMpaD3bT5WbmArZgF
rHVB9q1lsmz/0lXaBVX4nrafejhzq4ugKItJJOabWDqE+js5u2K0PAVj1ZxQVy+qUgrqUoHJWfbr
jT+QWuy32YsQdp+arJQQYpdW11KrIyGoz1IQuAUcj2oaniOd/BiB3iSyT3nlI5wD20u9HgE7gO4U
G9toGJ5YqLSBE4GQbCrmZUsRxETbO5bFRcnpfSHFzUFmDa/iSHIcHq1tXfhL2hCh9YBpXsVaZMUu
5ly1XUshpE6eoMwDXwqdoul2VojblmJtqbF6ShGXGFKCgmDStQOoW3dq2X2GVMScgsh3u/fTfpur
hWQPja0oO6E7GAowGUWkzYC7F63JmG6kRPOPASVHK0P0aSjTF5jgaiU2lIyyjBJtT0E/MYk6LXwg
qp3Fu6VPkucjUQmVRKG9zB+6pgJ4qIoAThpKAKa8E/2ZATEax3XkAwOoSaiPEIc5TVd+gZPf/J+l
7H9lKcPNBQvyf7aU7SH+dV/J9CfkT/rrj/7jKZP+ZRmWJOMQ0zVd1n47yqx/YTQzQOQQpqiqRHb+
7ShTrH9JKiEWogiGT5clEU7fvxF/iv4vFSuZYmE1g/0kQX/8D4Hw8pdRrPnHz38iXRX8cX8C/1RT
FiVdNjVLAXZFxPsCvvyD6KroSlhjyQ52xBDHdwd6UpWoJnQsZgXpBr4V7DRjrncpfPOsRE8zm3m4
EcdrJODPEYZxm7d1T1UYgpFooO9JrWKkskPRWodaDzglUxFYZ+zsgaKFSfyYCC3ofJI+16LerlNf
pJgPTH07VMN3LbuR1M1Y+P4+Jf/+1H9+Spmh6L98To7UArCV8atJZFL+/58Tk8+kJRAdt8REUnbW
WneMkowdEdsmvP31krJEHc4KDGQki515YQEEhQkXrCLhKpnTTS6JL7mv7GZNLD0WTxlGuYU1XVsr
yNoOOQHdDiP9s94ajU34yWMuiJ9kwaiX+xfU2Tr+vFGE/4uFghbzKA/bSMiQIZaV3RIw5KBhJwBs
mpNhL6TFdoIasYlAYzgshaj2+TJyrga0/BipH4lSVmi1JqgrYv1k/gUrCSUICcADFi6hmNOkXL40
7SCyUC2M7Sxcfz9sGTDW5yzIQaKR52YtuIFInnf3L2FERLsvWUhxOly39y99hAVW8f3rGBXEZmjE
I4Mng81Y+Mp7sSkN+bsvKFZNKvUDrJPtLqBrWoiR5cSh3O7CjmOWWwbqe10UAQgHgZfr1ikqkjxH
km1qO6WrNOj/6fwlqdlESemaQhFf2B3worP0QU97f1cWJHaoulI6QAHo/y8/kjJu/fHl/piAz7tR
J2NTZnnoRUpzGZd/1XD5YZ9aCo8AKuIUCF+RKuwbZVpLhsQ/XpHuEiDCQdrQUbet0l7b3b+bZnr6
zWsiVAAUJYpIuua3FA5TG/ntpgxmE1nkAhvxCd/eNdwO60FAkW2SH2mrygxKGqiHnHTY4hcMxd0y
PSnSVWx5iLxMN8NldrB0Gtxy2JfO/UupI1ZXgiLa94IW4T5sRhfR8Mv9ofuXIBj5ZTYLqFCV6yyG
AmJ6IJa7+5fS/JEKbA5pbgHXhYKWMG8Vw0HXuKhYJRrraKYPEJYzsqNBk2gwoQ+s532kWJ3TV8q+
LupFklrYLMZupv4udk3ijOH/Y+/MkuNG1iy9ld4ArmF2+CtjDg5BBkfxBUZJFOCAY56x+vpct251
922zqg30Q4ZlpkSJjAAc/3DOdzD2L4ZrYtmYwGtFA1J5rM4sFLDIT7NTX/tMPxQKkxruMTGG53a8
/Qt3T8SKLmKM2Lt38g2zf0E8esalSv3fF2t46rIe08eShHuYGi9JRiiEBtW5mR+HwlEM9fJ7PRTq
0JA4zHo8OrqkmwJsS44io6Kw9Iy41Zb81SpEWW0CDA9Wr++0bbVsN5FGWe0yncr4c/BJBljjiHKB
IdEBsB9AAgPgmG0Wmk7DCggz4dNfF32NV5UMrHDehdU7Xy9OfFzueQ3n7KYNhpnsbPgsPSSnPgXc
lklu0WJktWNX9JIuiJuB3bcvMaKFpDOBONq6df/Wqv6Lzsc6z8NxXgkLiKOZDaUYb4cphbihmuek
XsbbgLUOuI29NQFAI08biygVAZxDA+VnE1VEO+KU5U2o6x/elHp7F0KKaAKipZIUHbbx5pssA65i
ycwDrio/X/lW9mGxh6y4nsbkV2Uwo4150azoJkjuecAuXeqKEBhzUPLAbI5+MTIywq6wzsVThzVl
W9ikpfo+os+ifGl119B6o3Hoq2WEg1gjt5jnAJ0GEmuv1herI/GiilzvJJPXtJ6985yXt2Gf/5EJ
+9gFYXkeW8z/xu+MoNZpJWQ5crM7eCcpTkqMbGTal47joADQb/g7q1M6EfG4xFSEkfDIriOQJlJg
X9wsxNcMN/tvxkLaWO4ma/KXKWHV33ivpasJB4gsJO3NQzU0jNaj+HsRz35SflK9NrsaYau5zAn5
PGvVdocQPX9p2wSG62Q9JxKBYlsKNE1JxyXchh8WYNW9xew0E37P9cAcA+IAHFdAkWfmGa4bdvuk
c98IYmqPnBNX4b11TosQTZPMJCsm1lwQ1zEHCu4idAIkhrsFYVONNRLKC/Yryy5PskVMkeb2VoIq
AjQBRsphsOYzS8JdSBbogkSTD2cK8uCoaqak+CJ32vLCTSlXl5kpLY5oCd4buLxK76pnf96WoX1f
pN4PH80UjEEMc9/hwpY6ArGWdFm4bbG0SIeE8xCtBdFUhJH1uNPyaGRtwVd4Sy8eHM9Kd57CIBvn
KxE3LVbtiiRsJmHktlLMEyjustBb5M85q/bKyuOnNWmHG5sRx1YG46UWCY6y/NTQLe2zUO8Cw46B
PFMeOxdzIiLAvl6OWcEqyJExqz+dbyvVvLtOyrYETid9o7xpFeVLOrY/RYs2wks81tizhR7Hyvqd
0gT15lZobJlHUsOXXQR0Borh4ByreL2fW+w5eYMgE01y541i49WEe6+W5DxaNZFpRIAnEhmuBh66
kQPzuxX/WLUg1lMVAtYSilJInpeWWfhQFe6ZAJ5NhNzWCn/FxHITFcA4sXP9bRDy+0lgSvBWq+Uo
mno35HO504HbYdjl3BIRHRPqUmVTmU1XehWMYZXXoIOPH4mmaZ7DWt/7Avey1qQcYf8Bi4v4i6Ns
7/XVZXbD4rVEtu3m73DOUX6GEEOVG4S7sW0f1wpbY5Wf05VlXpkzkqiz7SQQ+q3zwHS91QdrqEG7
j59BH7wpjWWGDpUkN8Vl6fi5tQWqQf8Eg69KEKkrYvPI4EBWiNWbGXRIPBj4Q99mxNXgqr5rqNje
dXUJ0mvMSPUyJdEP6AHttluLYcfYNsda5UjxoWXdb/zSwlPYef7BNQQlYgo+MlciCDUJymkROo8A
Y9zHIgVgWpnUrCI61PX00kxZtvVG/48WVCaLYmNH3H2GdwMTAXzaxRi1tBMARBRleMpqZjrdHyvv
/duhBGrfx4c+Chjbw1QpSwK4V+VXX1WHYpXZVMYzJpPHuXLgIOYx6xMN+p0Q2vVmiOFBJUl/J2TD
I+TFdwv3CKMSD3pzH7m8MSprJCLqEyk8qM4k3bidTJ8Ly3noN28RIvFoHlAGDBai8I7rNFi3Y1iL
W8EShLHhb0O5LODHfvgBe7cagULoQykk2OWmtMhQX1WEOCX3lp0UafhFiEaDoGUlWAOwQ4kx/QbG
MI6LarmrRZwfKP/YjzFrLwJerLot7lGCNP3wUbXFz0hGaEep3bPuNx/6c+WNT2w6sMPp4tHoQLQu
yn3nZoz3pV8AB3zt/tZ5CfGB2oEHViKMlsvP1QhLnDw9lIG3bwBuhon/JFYmx6VwjkUJWzHP2aPk
s7wkccky1tuNw5zRMEQo5ssx2pDu883e0WmS8Gmdo5DIE/feiqb7KMzbfdXDsexTSdLiwLg5opbK
PzA03lgi+wp7lqKp751Gi/gMvuVtTmwjs4/u0anIhHanxKRHoi3CcDeQSMyiOm5uKuUqCgcyVoiE
ybduW733y++lxLudlOHD0kgojCXkmmxoXl13fsPL+1HW8XPlYlWUPYu+0BJkqxXtUc5vdYlKc8b1
5C3xQaXWpiS9D1A3V3Z7wmHFZtIr6xsCnbZe9zf7oVlvJj+Ibqj2QdD0/T5Y3Gw3OTNZd13/MNbJ
MeFTBsqmy33ORCVpDM4AZWEQdLegOd+apn4QJtklYX9KyNe688n+8k3K31y65a0D1iCV0Xc1fE2d
+8rz5kB0WriFA/6ndkcokjPXq2Kt360rGtrV+gP7YNonBUPqCSO3hclEVsmtlT+tlNnXjnKs8lpI
1Wq9Oq66Zm0REwFDwAopLmv5g0lMwRCDMmh0UZ5RmCZBfTVARkvbr0Wc2/BAShw1hCvYdfbe2KhF
w5GhVhKtpzJjs0d4Nrq3v1E0K8NHNBdpwmfrrLc89+unOIfzc2oSZtJhTcyzk19b3LmHQnt0coG6
j5do2Qd5+Oj2PjmfU8M53HguRwpQunVSkOJOM3b94xqS+zEJi8apyedDU8M/yQOGwrED/0NM0w0u
uJObIy9cNPqmGCHS1rOdaqsSMjRH2UCuznirQQiSh5K9Nrp68oJpOrXO45RTj7f8zAG2toNfCoQb
CErAmd8C9Py9mjS6xHRVAYQBRl5MyRQimo6tEg5rcqLXrbdmzq5Ouw9RJZeZ9W0M26ApKGJIvLu2
c+EDWOEs7MHf7aSWn75Xu/ddwtILQT1akRXJ9aWcmze3IMeS5cwMESvgJNcopgrre7COiyfzbV3G
EqUuuPka96+04RuT8XhNY2K9Z1DJxLe0xX4VmsyV1n/JG/OWchaGEcmWcY3kf+63omQSm+fIVa0y
vFQWKOlZUxMPXfsQDTgH54FtlKvcr6Qc553nuJdy5fSKcmBOVvAK/ObebqNfcTI9iawWm1BzSvja
JZIy/5U5sFxHFfwIfHbcdlrkFFaIdh2MeCX1rt0i3F1LGCsI8zyCS2skT9oPqz29GWtxf3zgcFwT
KsfEQTql+gdN6NliLQSSzH+GRf2YFJrGxHXeZMsMZAFElk6/6l7XJ5TkLCnUAZJ5DAEv2ez6TJHR
NJmixPF9xJD619ARLFTIXxUSUW+gRax0lWyrgXR5EB0S1x9vk7wQtXUrhuzkVH8m3S0vlkXNYeNt
Ud3JSzCXFUXYHlpd/QriYNrl4fJohaQM93awczpWLABH0SCv4SGcV1JcON+XwQVVHZOw1A4KgmbM
3Fll6uS5qI5Tm6ViLAkyYWg1b6KcEl4UKNbJSVawcPJD36f9YZxnNqCyBWyWvJaeihhtM3/M82td
1t+kJny79CLsCt2dvffF8jnOHcLCTHDTT596iJ4VYQijlT+42cj3oFmjERIYk5H7Kajg7cnjETYL
Jqex9aG79dj5NA5alBu/bZ75gymbMg6wLso/7G7aYdcHyTq389aOKPL6Kk/3PVkpt1X/Q+mpPIHf
RGwNbJfbuKTVpYZOQAIKsSvjhTgeN3kY6OUI3aoHchSqbZ2yXcuycLPY6AIqoDgsvJj3jzSXoV7Q
rpGIQDo4PDlZjyieQPxVM0E/61q/gEIkuL5wsfhkiFxSsup1vD6YfwoYEkqiQsnBWpY1PP/gBxNE
LteZQJ4FIdFAQbIM64nA6o8KwMqNtEi3iJrIhPDoGl5IN1c5FQO3A2UByecaHnddCG5/80ayhHmP
7sZ65c0QISpITQfuxt3GzhHQB93MEeCFxJy6n/6K444sB0QwVQ22g8VxreUf2BrPRBOSEvdtMQto
ZsOV9Vxm1H7wGNgScsTY4yKBvX3jQiqntjeZ84coiF+lB8F8liipKSI3XhtDrajiJxY9SCKYxwe0
RThkNJbJ6De4eyCpVznKzZA5Z0IRKDemMtzYGfKzMu/iG2W4Cb4B9gJXdsdq0zF45OH4S8ET2VYu
mjlfwPLpcpdenudEMs/zMQ553+LJ5mZjYRZ3cbyZFn9h7oYqw65nAiGbMNivg2eEe55AL5Imh7iT
O+DyKC7D+ieMpHhrpeoamzsyGTvk8jWhRvFAiBSAb1RnPJCytzrx3/To5IdZNnf1RBbr1PGM7T9V
uiJQF8eqH+/bgPTJ5Z4zZBysZ3Z0LHFV8bKQ0BP6CNN6Nm6j5LdNR3eIH9o5ZmCHZZQYgU8DaBr3
a75MfygtUqu5BhkS2yiY103crFAyZhtLfiRZtnr0IbfttO4XjzeQKv91dkh/9IFcRzwoeer5N1nI
Z9cmuDV7DtE15qRTdAIanuomguq8neI/1FUjQKTlSmZgctR5jMkXOHdjQRxtu2MnqzvXp5pHtTAf
pbO+es38jPTg0ke+vYUx/12DwgqrDqLhElwD3bz5qf+UsSwJhrcq8C+dTVQJqBdyeuEk6Ftf5M+9
x90yUvWnhXvFwIIKAjx7EaP7SJB/kapOQiMedAMBjn/EdDfWAJqcpVhQWuwRWbG2E12LTf4dFMyh
Go7S6i+2ude86rtpy3dCMPrNOtNxjf0vgGUOMmCE3XTlj/3QwSCX/UuLeit2nq3QR5NcWX+6frmP
EqD/yhr8DVfPDP0M3n3Szr/Agx0FEKzNiBrVaa0vIA49onGLsLDC+0nBtpkUYtqhSz6aUJ2WgXy0
FgbFTT+qxw5VRBb+ccf8gTBCZmVO8pV68jGm4zQxHyCC/1hW8VyZn9ma+tcQ/XwxcJBHxC47wsGN
xCe1EZnP3k0TDVlGKC1RpaUTOyMQIf580ryLD7V9PxPYevKy+pRTpm7KlriEFubVXthAc+iD97pW
035uGZwx36cD0YZ1sQC96Az9QhsOxkIlabgYAUpLV0HKSA0zIzHwDHoFw9Jg1PdmxdA1NCXHjVod
mg5k7SHpF+BV0CfUXb1PgJhekrLejAJCSOxX28AwPCJgHjNQD2HoHpHhfMyG+BEb9ocGAsIGEvqW
4YLkAEIqQwpRhhky291tjCiALEo+0HydfhUA+7EA5GTiIqmsJ3rzsIhaRgTkq3U2Pd3D5Ddv+d4x
zBIUH+7eVv5bZHgm1kim+lzrB2Jh4KgBPdGGfrJwGd0oQ0RxDBslApKiDC1Frvl7l7XE1XXXJtYe
soVUP8/2mYMo3GnDXDHTpyPr2s+qL15lWwEdZ6nvU+turCcdpvdODUp+KVu1TftxvkO19bsntn7j
K985VMQlYMnOxX1MkU+tBZyokDOwbu0/+CsXQhMtbKX99VbiT4JPkN0DkMPzy9LRXXiGcIIWIGhS
w6LJDZVGGD5NVUOq0V4ybeIVek171IZlowzVZnVQKxnOTYR0zCZZ3h3yGkAEluSqIKe7hKu1MKjs
KS35uT2GtiytB8PSiQ1VR66+y373xbWHmAg9HSIGUGyhx+xxsSAHxMn8MhlOT2WIPUzHiWeA4cMZ
F900JV9XT/gZyxiwVQivajb0nwIMkDQ8IIVBJwUQVBtSEFUyx9dfepBof6pi/l0zljmLMjiLWj/q
EpX5uI71vo5tKEQhgeRxJn62EKc6EcVvZeQ9iGT4OTP7uW0qXHfsxUjbm6wb2RmdHMkeHPcETkVt
BweJGimEkXFmEv+V5bgGRheJPY3jCpep+M6WQO9i0IY3bkRH4MfIPK1aP8Ht8e/DnPkc4+t9njn6
wI9y7GddX6eWm3sGKKXGZnqwrfQtLi11jur5q8+a5q4tcUBESQ37yNCghMFCGT5UCihqARjlG3KU
jaOzZ9MNsZ/Aw5Yqzsvwmi6Ld1GNKA8lSjDuWjEfB4FcmgCHnT/Be8oyf7ku1cUa4fpkdj08qdLe
2S2CmLBvtoGJl/ODU9n+aRNruuPD+z01kLEyEFlGycDOzroT9qhuRfThsRMh7ZsSX1jNej90wevk
etVF1g+l55JyOVCHFwcM0tWmSPJxN1WsmqK0g1E8ttyhlybS/TnWUBlZnN4xmu32nuF+dQDAxLBc
kyW71kt63wMIs3l65ADDckMOayY+UUEPKv9SxdR3YyhjNbgx2uX4TETJiLZYGx4ZqseGAriBbJRP
mKqGarcYfpkFyMwHaMboaDpwFCIUwaFbGupZAP4sNhw01xDROtBoCkRaT4+E/odHPLDAt8lw1Cpu
SUd2X6SWRLhz4VUpQ11TtkQTU704hscWGzKbBtE2GFZbEtNx2Ln/tBqOG13dyBIMYgSpMu81W4J9
srwna37bJwxRV3Bwg+NdO/BwqeHEeYYYNxl2HBXEYFhyiaHKKfByGUQueiCM3I4gvtQw6MbpTvTM
MTVKvk0dIQJKY+yveZ4S1o72Rjjp/Yy3PTB0u8hw7pQh3mnDvkP4cayA4dV9AydCT1D3V+7J5iE4
W77ETRM3+B8NT89wCOv73FD2OnB7UjACD003mebzlkAHH+2ziHAVdd++xfeZZqiaxwybie3ftw7T
0BG4XwHkLze0Py8mQEI2H/5kPJMx85Ui3FdWHnAmdunRBxoYGHog9R0x2YYoKAxbMDOUwRTcYAQk
I4EnKEAKFDZCqQqnuWBn5wz+wrwuf4hhF9JcpQeQXHuYOV9zDTDOrUlj8Ssymwz6ULTfehoRUSts
MLYrEUdaPrrp+LEtPP+OfKJrntPg5QaqyK13iaAsJriDxg7s4mJF700xflXplJrwl2krM7adLnw2
gyEcDb5xMSBHq7cJuW2rS07bvGu6+BClob318NGNXr+cUKeQc4nvgg9vfhEBQVjrgzLwSNZvw9kx
QEkeJa4BTAqDmvQMdDIpWEt7hkNpgJS9QVNqGJUDrMoaZqU08EoGi3o71hwCBeOZbDBz+xX3gu6w
z+Ux6/pwLvPtD7Bf1Xs6+nx1N+xam9wZNRTJA6zU6bbvcZK1RrU6hTzp4VTGeXVXOFO3XVXVoRxs
nK2rpuuUA9PLX3qdr7uMVJpwwoCKKXLe93YKJ8KxXCIr5C5c5Guu/e44q9bFv5vaJi7+4Lo2mxtb
/aJsWLe9oYe6YERzwxNVhiyqDGO0NrTRDOwoil6Ke0MinVaYpKzFEPKCKU2g3ALytK6wPAXvCyxT
YaimkeGbaoRjrX5aCz+8rAoCarmKawASdfnLRv1LSQX1Nxpuqi9chKcU6rNhqsaGrpr3l3b4Exvm
6upCX+2ga5de3PNtY/bIkVIN7sDl9lQJRGPj0hz7mLHclHjdZbCdn8Wy6J3KrUs3jANJR8OdZViw
o6HCQrY7hjgnbR9ebIttxDEE2QmUbAlStnXFnR7JBzKoWfAAAteHzd1U+423S4CIico/JqAANwMI
7QNsWMyMkUXxb2i2TgqYwvBte0O69Q3zNgJ+O7xngHDLdqBE7vVGt94PGVTlby8szkGxA7VR3Wep
wAPlDQcBiO3QWhwvNcTdFfRubcHgXYHxKqC8wThh0JojiC8cFwUKmo21kl89VhETaYXXb5quVczx
0+MJBXLXkViGTkJ5yU8EukSrjqhL62y9z62OMbxhBysgwkGYpPtsLu6GIR9uTKQI640ZMWlinXQ9
jLcOOOLBcImH+aM1nGLbEItBtu5g9tp3uaEZF4ZrXBvCce3DOkZ9TBLmJPikFuuTkbF/nor1KSS7
ZTtO60+qDcxx7Rcx4dmmB6eMihhjkSEs03dD2QG6DMidh98Ch9kz9U0IjMXuWrWrp0w8AL3FScQD
L0OLe5njVTBj6A/Ynl2kXOzWfmVG2yWMyot4OEZitB+OUYBJpGACSdhktGH89d2+LvVVdeSqjPl4
GSyGFL7g48ya9SfrynsR6Ox7FfaJHo+HWbIDG71sKXC660Jyi10TJYUw/mfWIQIYImgPdpU8BP7A
s2/FqZV4zi7LPSyurrrnqYFhcO0veGH5+BxuaYA4reLvdDkryHfZMiQgA8wdYKGkjE6EsrydbiJ1
HOP6yNadpbHLVJuYvYI5DxJAp/whs/ISVAXGbLdl+QIpaXbyZ2GfVyIj7/6+WFZW3AWCMCOmxtu0
5lro0HBQxHZsJXOIEZIJQWlI821FM68KV7E5iqrbFe2rq8W4F3X4qSrB7jZdvUdpN5ya7BVRDbCJ
6Br7tp+Dj6Qvb6VOx22WJpcyyIr3QvNZ9yzfyxCtb9IH6EjMptNhX+WOoftK6oO3XFpWhMhNKbgW
CTekYoDPn1whQA/BF6rmxRsWnIC1tLZM6opBnq2OoVcUQIEOQryhoG83arLIBB/FjSfy+TGHeefN
cAeCar6Eka4OwBz3q/SmXUMZSBH3PZcre0vmmNMwjDtPsj0Ia5LUohB7f+0Af0gXChTAcDe+M92i
S1kPEv934o7ZA3Ea19wumFqvo0WZLBnc9T7Dr7BH3TOTFwlypHMhiXV1DmkodE9glJuHvy+2IAva
xDcGHjyu2l8Y+qf2oZ45ZpnJ+ejCsha0JGP7ZQRMFTPFaTB8DGUUPwx25z3OegCxNk/n3GPk6o14
7cu4B/MoAFsFnrzzcNmvZLU+JiNGhDk8VyG109yzAVmSY1SW7t5BT7Ak6y3Yv7ekCYI7N1XJgU27
ydvTX1HgQ03Wdc5uJ0FeuaDFdqfsvWKxuWiAX83o3s0zB1NVNyfrLfPRboDEHPfMnaejQrN543og
T+t1TMkUmNm8gc5IZirvZBoj1tDjevVAfWLD8+6SIRfPslh/4YQfXP+tJlte11jrS5IKl3Ao7rI+
It2Izwfk7EGFBSm0Sjwm9AitGzU76WEixGZjHYO5/uPl6jepitG+sUN06qL1d4FaCCIrfG6BtQJV
y9VUucFPXUiENkXGFBP5mW0JYteRopSJOEV5+KNUiukSLkXCUZJnHCKwPAtczD4no35tnG56QPzl
ZiC5ggSJuUdHV0bgPagHHA5+1rBGW4zbozbDQsgxWBtIViyyY+3yoXd0Czd6ZKGmWr5kSKK9O4f7
fk0eBxZkjO+WDoR1gzywLFhwNJBEpxDP9NDdJiu5qAwLbwZ7NDFHzFDqnhBgxt2amOSDtQi9d4eZ
79Rn+lYsJ9aALKspDyw2u4A3r4mK171Uyj/aJX5Sayl/hNGL57Aassf8rtIB+5qS6QZzdZmdAq8s
Pgvt0m0zA5L9cqXlj0+9gec7sGyWNnYRI7ftVUQ2vVJ3YtqCoSCbeM/c4DxVklE86wh6ZIh0ub1c
1pSM20w/VV1JpzSn5xQ534HkASbcUzeyBaXpDdH74TBYQwdCRWYvW0f3P8I8ssjeoH4YlHVpAuT2
ccC5u5JADoQy3FV+nb6M4QRhqF6fAOIr6BwxKsxqhIUQ4FsuVnlbDCo+mpH3XBOxp3r/t1zo7bUs
j+NUOYfSb8+I1ZYzhtC3nCigPQ38cpbm5e+/+fawnPswxUez2iPBlEjyma0TnWiikf6+/FVjIE0Y
CZiyZ5bQKRqj9m9ijotK6UzHwcJHVRSsKf0U6rASMxc8yoa9EL/099f/vnRzk+x7K3rlWzdUJD7R
s5xLRp9O95ia//r7vwBn75tRTsfMSNsUHt1Ui2rv65UlFWcGg/i831N1ggyEAGGlJvmIFzSFCECy
wKYPQ3k9LwNZX1oO/3x50z0/dGTUZ5BbX0RLnnBGFOk//5eUzvT/4zn+GXv+P8RzeKFrI7v9L+Hu
/xOY/v7d9f/rTbWJKtX/FdLxn1/5n4JqIf4hXNTSkeR6l45vh/9bUu3+Iww835G+9FE1S/NL/wrp
sP/BStex0YQQxhGFAoXwvyTV4h+OjJCc8kizkV0Tw/5vEur/TlLtMjD5d7GxFwp47oGgyfSl5/Bd
/J+i6mTxJ11mSXqarMDI1qrvYkRX5k7q0om+vZ08T+9ovpjYD8NXP0TAnSxaQmd4GPcLcQ6naUBV
UpKXMKzkLpU59bIPSKSbkn0dii+VxZdhxkFfkUfH9JcpIbLt+KCzdKF7iO9VeFsvK64Q++yigWKH
i99kcNt8F0/r+/QV+kGNdboR22E9RgMEMoH+abJHputVTthkKCnxPSRlzamFon7yfRJBx8UCYFBO
XyJJgWdFE6osVptOPN+OiV7vJkKgV0x/2yRtLsW4WpyfDbqaCANjCvsOY5dMOyQfcXlvVXjh4Rth
T3Kfh7RQxLQO4972x3tte+vjHFbWrlhYjDQdzviuzziNl9yYPmrsjJ7BkDhpcfCjCl1GYtk7rSj4
axfO1BBE+0BtGYCZgWqjNu7w1S48L3zVL5dM2mqrXUFxj+9qmImnXOr7dprBQyiB46xB0ORYSDoT
zfQrabB7NRD3JzVkBEWiiHLrZJ+uy/zijdG1iMgkYXEL5Awdgxt0QOXRVR6L2n2pe6YtqHFfHNfZ
LX33FqbTU4BtbwQiCRAY3wYQpJYRqHpfXXYLEk6HjQGvlpewWu9xg7zaov7yAWKMNXTNHAwhDql2
y1TqZH7V08SOk9DGyKf7nFjAorNNEgpKTPi2A0RctWhYkLvsia649ebZ2SinZPOZOkcSAs5kJSBZ
9ka07oFp8sZ7d7Q/aNNBAi5uROviMKhmU1g2thGKWfFWVzUs/5yhdDauNcGcAVHwTtgD7u+Y4WAD
LDqkjxUX+E0fFDy2GhSMg9LNB3sq4khueyFaLrgEGzqpb1vq0mnDo3xTAfM+6CKhC51/9UXyYrsF
FjK/HQicyu/dNmVDZntXqv27PA6eXC0vLHlZ3U+ffqLFjv7oo6nT9oKK4mZW63S0PHI+8sEo1GYy
D4u221md3LN5hllg5eldh2oKjTLRNjAdc9tF0FbiamdzeuNP8uAtA8iwPEx3iWfBJkug9A0DIVy6
OCUxYKQhRTQdCG4zHoFUWgY8Ft/FrfU0uixwRNNekBXe42c8OB0Q2or4oRt6m50uBOkRKn0GMs9w
aJXwsjrnpqkFQKyiuSfRZj8iiXtNUY3VV9Veo4Lgj8oHMWXXZKP3CNXLyiU5r3mI42UvS5t70e8K
SiOSh3nEDixuWsr9qE8/puAx1mGP7EhhvCQgDoCtODJo5Lb5yLIr4xBYQmS6joJOyXOCB+wBBJSg
C2qX99KZvxdrFId0DB6acD4NDlYNAXO1CpDOrDkKl3Q21thUbwfWLZsxcgHooFrLUNo7iCMPYZw8
tX26l3b81I2X2O1WTBOs1QP9IMoq4ACg73FroDGCbe5mXLGOJpVHXxjALUwVW4juSy4rxKXua54H
xuCoXpfE/rJX8wElKzHZLuj6mOnDmHKU0cQerYjg7CBpfw3Mi7ZFwUpStyuiUuneMc0jQNyLr3Mj
49e00Gj9ic9pYKar8msZUn9LF5OcuzLkh6lYaDI5cYjzuagJGa/2xMVL4vHMpu1NUKyfU/+NkARk
EdC2xik6qTyNnkYPkVA9Ui0iDd1EEpmvTKp6p1P68qnu79hqfIfZH2WFb3rtMa4vst9iV/mesN1O
BUkNS0jSuRXYL6Iout3U/UqUN+EprXI0Izb4BmwjBEbR0oufURkywVhQdEiPA6v3Nl7G1otR7n3E
cuMwV4wOqZ6Tp/DgiMGAbheEemypD2mrYDoig2Q8QYavJa0bv2EmIib28N7tXA/BbSrxEKf+a2Hk
Mh5Rc9suw6mi1TmG+RpV2t15Vk8Mh2PBGXPsfeoy2/bEcI9T9rWxj13UXKZxOhDVgjs8KxE985SM
qbKfCgBj5PvBk6uL6dwFIGycYBcgjOhQKpg1y860Wbw36P4w5MJWcthPLeUz6pEFXWGSHdZcfoaS
aXcBoLb/yCKs9kx6n7qlnk8O+nrkfUhaLtp+YCcVcsJxvPQ18Z8+qRdt7xHthNAVGXJ78JBqbmIJ
OFppCEdBDFF4wM0SeFw76o1nAars3AbMZiXOw5iiOWsN4qVoHr28ix4rEnQLvBihL8qP2fXT25DV
Pc9IdRr6st6S2Qn3MKzvu2PphdbFx2AKcnR8ED54w2q0oX6xVWWlf6a8zx+tweYFbvfJykJIIR0h
r2Ln9MPzKhrcxPIlj7lQkvw9rUqoTdH0LlH5k1LQ7NG0LKdKIPVsQu9QJNa6nTx5Aj5HgA3pSDYa
ocWC+Lw2lwgPy1Me3dZTtPEQiD/ICX9ptZodlOD3tStA9FE+rQT9PMVDgytgWX8PS6zhpDXRnlvt
s26n69Av1qlLuP4l4rWi5sKk5qCRjlm3r4t3TiHhVEO/4/q9BFOwraq8RsYpIXVPqGD8+huZAJrh
mcX9sMAFQVq2dSDftOQE7lUwOftqis5djmFg7NIfxey9tEyt2Hv714QCRGkQioPEx5LGiM4GhCA2
YpV46WmJC7DOPI4U2IjtiDWXh8J4L8YPVJ7HGEXptkC1FhJxHMxFcbHbaJcqN/lshOjMyis/2iNj
62pNX0dSZFHCu59prED1SB7wCLhkN79jMcXG0xQgJcQ7FpE9fzB4k2qy46NXO9B/+hJJsOwx1yd8
oJXjjPi7vgJrnT5aG0MGdPlDGyHMdb3bsJkQXkS8Y7aFYddz5SvJRVuhovDODX13L5MJbI5AeswC
6Y1wMcbqof7KyEFn3QTUsUmYrDdVuLGs8Vos/ZsexnVbNSnCsz7eirUBNCqBRcyGhCrG10aC81uz
/yDtzJobR7Is/VfG5h01gGNv65kHkuAmUhIlUVLoBaYtsK+O/dfP58rqrMoes5oemzTLMEVooUgC
7tfvPec7rFxy1BS7D9eI6y71GY8zYCfkZPWHHjbmrYnQ03aZEUzJlGKp6A5FEl8So7Zvstp+r4ek
DYx2wTjI0Bw3v7NEr3PtsyI2b06rPWUpgwMzDkPoS8gPwom0r9mNAWtkSNjy5ZInHNxpRtiXEAhW
UQD9tpwBvcSCzZfyCfiCmx5qSQSTl06bKnzJ1IXainTr8j4fqFbyk0fTxiYBlBiesN0WUEMCtMB1
4EU2IM9sAH4/o1lo23MU0mlY6IRmdGumMa93aB5ysvE0LF3rgfE04VIEqEdIqARpY6Tf3eFRSm6M
wrc2xVLD1rkrdZboclxq2LLlQ9g0d4ZLG97u04d0uW2q+BJaWRF0DlOnOLegJ/goJI2Fczc2tyd3
BH4hrQuyALHRGVvMjW5uW6k/VNNQ3qIPWLsxJbrvsY+NxPbaQi3uqYUzR50a+gdbHw2AAi0BRfbJ
K7ozbgxSygasRrnmsL2EiqimSckuCx1vmgZtz4oEGV0u7S8Aei+UvNR2kgGEOeB1Lmt535czfA0D
E4RVxYfaMpsnAKgeirC0Pxs5slBpah53N6+368ZEZcv7yJ+mnTX018k10EoS875KvCncLl0xY2wj
zMAyVR65GTGEmaBep6I/5tpv1hhy5pq+eCNm1W0QiJn9c0vYk5a6FKkW4VUR4z2L5wzSpBLITNvD
PEAanHx3Wkmbkaky7ruMZOnlwUySs2euOs3N7tKQrjl1UvPW0KhclWbd75cQVIepkXjuFI2FyXt8
pie3W9wSgASkBuQb42tYp5+DRzWaZtOdjIfv3pSAyZSrsynse4JzrJPds6KAdZtI216ZoYN9QH2K
668KLXlwxuRDkopIBjrR0twAmzgXH3F+0gqbhyJuhVZG8zLbMyysjGmvXquKFaTzJE7ybGn2rmzK
c2kgEa6kRMyk4h3g/8F7jj+irMeAmzZvBWx0z5nZ9+6RGByxh79ziro4wwwAs93q6EI2QtwUwA86
xEW7qDRAJy7+QzFEOztE/RRD4dZTOFNRPqDTc2r/wZ6gE0Imnnz8JaiDc4HXqI3eQ63Hk4SpzzK2
Eccb1xrPIkPHE4J+8YfqSJA36enuISnQ0NMt39lWzJzA2Tth/IF3dlqWYOH0Nkz1rxosheH4V8ud
6DgHKGGfaNh+Un3+cgfWECskyq7+JYyzb2WYI0iKZmvx9JyzQXm/dCx/bnhPdN5NGdfPiTYA1QBG
5cl7y48GBJMuGjr0zvECT9ZALUbmL90hwq46zpvRcFQ/Ks2LS211WC7AXxdMSgriqAhPmO5sJ0bp
196ni3gtIf6l47hGT3Ykm3IvNQC9NgzCMrqtiHeiAy7gmSHY4dXkcqQFNkXiUunGs9nQl7PQjUWZ
/ZERrVdV50XzmFjgUaNjeE7r9m52tXsREtPl/MJ+QxZGdYqUC4I45Jou8FLXyem1TdCbGqb+FJf6
vk9ZlTESVsJh8bbu6MDDnEaUKsWZiJJbVFFC0ygKyWqesjfbB6o7NPZHX/gn6l+xzuKJdrbVf6KR
3CK52mUhSAZAxphF2AooBBwsPJR2DjlQruiDQsafhIRf8nCiI6C6lcK9t3FlmPXwlCRi3RQ0DdRb
UyZoUf1iq0wQMYd3ZRrAupRWUbYxxmzlTq6vpDNrOu/HqRLHzgeLBtOa4ciLt/QjTJLwZWRHUq+5
NnpPbYVXLYqfwvo8jPU7wPOkFPD5BmYtlY0zbvbvezE+RwMhF3II/DCFJ4rSwrKvlBXPdC9yyihO
z1oc3mfOsI1SzM3WYNmPDzVd0JtSM3pc7RnK3CK7zyZ42JjFDhUdl7OW6fopwWVJmpU8dAOLBvh7
BoOcozB8rTzeplx3DtFAU9iR6GYsrVmb3rBj7++Pkdmdk0i/IyqO+jml7yDr4uyM2mNSiS3i03av
hdZ92eGK4gRY41bupgDZ0U0ZTaclIxmxJMKgrZrvCogGtc2AwNLbLpOb38nGffGLYWAoBH3XgSI4
9RITf+qTqKChRk6Rp2shgtOa46sev7eUdQnmijCvioAs3JMZ1Ts6V5RxkXlrx2m/ZV7pkSRHWYCt
m8N8fKZ2/HAH80MbD7KljEtHdgun89M1V88t+iPI+xzRVlMOi7uuPupk8A6FVSMJVP1Vo0Dt6cv7
OiKno9OqF8dJbyYXKUQo9Y9WG+cnPUEWFKJmDeFKhZ39ZEXema2P8IUU/IWOkWbWnpxBu+vN8VlI
WjCVpFul1/5WS8QdY0/2xWp5M9BUwLRCz9B5TIBQh3JdbgVckHVd+BHUqOyc6J53m0TGTRaKeOuR
6dguCVhMmPpDmAGwbEbaTVx3tgFdKq7Fm1lVFNH1pzV0ITBiqNNMGQ4I7IJUmPoaWed7FWLqHAEe
LO4pw5h8q0dJ91QmwOX9FLB0293kdDxRW8UkEe10LO8oDVEwutLEDYrCEbfKTUnO3m6KyPzMDbiW
qQQ172pgmxZ8pDXLhkGrMyiy8WSOgxFMrgBTxJGjmh5TppiUWyHi2e7NwEy76ihsYH5tRgugk22g
+4js7maOabB1ffgaWUCEWjQBY6Zv8Y6j32hNhkXteFshvOY8SnMyYe7EieJ3MXCDIivjJGkPrxh5
OS+Mj3muQUNs2x4EKgI36XMqGXOXuUu7gAetNbieotzw1VkQCw5+hQ1xyuyyPcJrTneLvWdPJa7T
EzQEBskpgeLMT9lsR7fL8Sbb+5lJYBvDaGugK1pWqNFHob1RGPPwMPVflTlOG4hWmNO7kW6VeW56
uDBGhDKK5OCANErqgmI6dTWNyryWt2Pa3rtTtTNoxa7GCedJQxyk0WCvoBWYOunXQtD3OuNAh8HH
+HRD+xvhfbkdc2bzveemN0OtP7a+3Osa83RM0fedHl3MRLsNPaaEoe+C05kxy3LKoRZU4kEPKTTa
ofs6tz4T6acbLx1OSYUFE8hUJlp1i5oFlKEmXVc1lO4ow5QmnkIwWMsAZ9HL5Xqa81sYQ+6qTLsL
sXdPvVbRHEC0UGqomQpG6Ei/TE5j2AsiXTsDrzRDrd4mugN6lHm21M1sZxeDToBAiyerkhH92MgJ
amKOAysjgESYkIwLOqNlJI69DGKoUl+aLq7OQkfKSeG4FfZAGAUlZjjA2HA5d2gJGQhuO5Gy1YHC
jtKKggxbUklAbAf6AawOtjJxaMJTjo2ya5tPtCMCSWjGGGiZLn4+o3RQf0SyFoxzwMo7jIcYiBv7
RJEys5TaosK4Psby7x+1Ubtg58LCiYVEO3KjcCLkrLOxPXqfP3+g03WOsyWcIxZrLsCff+xUoqDA
OraWrJnHPkr6rUnD6oABojlGvXFLQ8aGnlnIo3Jkb2jNiNVPsJel4JRmFAGn/Ekrm0vFqTQjpY7z
Wg4bjFutGXIu7eTmyBx5PxbFvDPLsj7iUOUP9dHYUdR4M4oVNjDEwcjYL4WB8BR/TYuLyOco8vPo
seKU1Ba6uZLA5A09eUyPf6ak/XxES7zibf+P5LSfj6hCEdTWYi9t3sRBmXtGBeYY2wVBTkzfhza0
OJaO+PsfccmxlcnKCzqH8jjZQDSJXPORaqsPXS/BWNuoiDcvISMt6dh/iGU7gf7iE9KybwZU1zvu
vPrYJXEDbGIIV0aClN4oeRF//ui5a4JR6O//+CcBvpIqt941jHwREvz5tfUMcuIff4WNZmzIAuWW
+vMT6ErNjUls3qqqWd4ijPt/JOUpZufPR377Z5BeosDdqN7xMHEXeBJtH6IVVBBMGkuJGK6LoNZ5
RfPo5mFxriLq4QG4wDTSwG6K8IY4cyhnFqlH+rAERo8DXx8Kkpw62HJ9odA3hwodcl/0cl2VHFZS
XwMNX2Qa2QrJpSjZ+Me51x9ykFpJTY2UspeuJrEI9tMxObl4nWB40eR1VLRsPDjfi9C6fV0OB84E
9qmHXN92HpAAulLa9CiiBrIZ1S1dSAeftvc0chtuDI2uImLX65yStmHN48rlorxJLew0QoVJA2nY
ZnP6ZCBWIKsNs5/hAh3IxHGOmAAvDPA4Z4LlqsL+3sp9eQNOMTCquUV8VG4Xj3T3ajJTxGygAXDx
HxfgQ2uWuWq9DD1G2B6kXZHp+1Kf+2MVDkD7i6s+SRGgr6ic6tiPxYVzIhpvuwayoWJARnAsLJIm
86Cdlvb8UVHEieiDs29+X2tGQswtY/coh8BvjZu2rL8aUeExuY0sMAemssLPu9yl71nYDL0Rq2et
+V1ozmPLoTpv6ps8n/ODCRBm0KwQw1F6Nk0EPQ0sMRsVU+YdHAuSMzUZcS/D9CRn95hmTwNJs+De
xruwtx78tj6MfnqrkzmNdveZZjzn/XKGOByW1xnyL2HCy3rAQx8X/r162NoD3tkVpNg7NcaZJP0q
EdkMdPAZxM2vYaMHRag4c3rxaFvui6UxwRloyuax/lr2rKzV0n6NrfnKKHtnI1Va4R7GUijkr3im
h12Jx7Y7VVgMcayBEbdm+aKeHUoO30Ol66ACWrp3d4jufcRwdmXzWwIihjvPy3SbRh4nN1guuv1U
h9Q/C7cHJrRyF9b6temm3SAQVsdJ/yVVdJzJOZcOOHulONS6pRFN8iRSUpBsvehYz7yDaFAliBaG
DIMapylU3EnxnVlWzsRkqDYqHyupQJYAEQg5VSiH74Jxcn6qhf/pRDbO3poelNHjv8tm2d1pM5h9
f0TEVSE467QYmZC/s7HcrDzNtdcmdIp9EyfOvVLSV/YCHoZZRl6VyDDajoS6hadQMtlTLx2DIvO9
QeQ0mNrbbVFxSsVGTshJbwP3wJbQOY/EOu+YUuKLYASXDp2GZIaed2jQ8A1RwTno0dT70VZJuW1j
MFFaJc/G7L0Mrf7OWmmC+Td/DRW5CVbIc27wkObD/Jm1wPoIZY5EG+2QEyoLQfvkWBkNhNmhsDGV
bYac87HBbEtfeJWk9smgWbd33Eo/5l36MZPoYQh5SRz5281ohC7Y7eeiQrFma+OayGWi3BhE6LyL
ePJwlMTm21J7vD0wWxvLPy1+8xD25tcIHXMlQ3quqFnQ4sAUtfhAfSpJXNIoMvklMHbCynp2EsVM
SgZux+q5dY07MEgjxuphDFpL22EA45Dl464Q3jrCaru28D0c/DBay4wjZVHYT0zULS5Smr/+6HJy
MzW6jU1gphmYBTlQOifJpoFAtGBMKIgHSRPeEq+9sd3qRdfsWwtOFCm9IKeWFzk0B2GNd50RbYFP
8MhI4EnH6g8anKP94MRPaWyD5XFaVaYyvPM0axdhMOAKwn2boMusMk5bvtgRHU1jBGPeytvTzX7V
YhPMscdmfpO5xqltnbeGEkzapclemm3C2ntofOfDc5nccNmUJobYarnUzb0rcBtYtAGnkGtRfSK1
wcmXDcgKLnj0iEEPNEuzooNpQQWSIM3j3rpkmYuaKX2XQ7T38Snzqy2g2ujF4dq8n0M6MRQLkNvn
6RpXMHfSTHsosvxUDx9ahPXPGzqkdGg/m9RaO2g5UQEyPLS9wCQmbrGh94jag6Xv4rYztT1W4lv6
VBfHde5RtV1KWO5l6WzgZd39PO7c5SnGBSxFTpdvW7d6iCXSZoEqwVgouS0dpXziuOGKAomKKJu3
vZVf3XjymboiTBTl/K353Q4UEK54eirEYdFkswVh8P2DdLmXBt2t1l5bnlFlPTgGRsh5bHeF9U4q
LvJG2/6sWbdGeNOyba5pk+5kGysz4K3pD8ckZlWc/HuPbpLZ0SiKupgVzDLfJfIn1GRvnef99vIP
HVAkemHnCSRZIPHI64AocI4ydW91yKkmXumWDuuk75exfaONy2HRSzlGkgXHQquVzXsaFQ+IKe5a
317ntbXgDiHHcijcJaAGOcV6dNR968nWrZe64jUreALUlgdUfDkmEvdtjlAzzHTea6QUNWOYlUb7
lJo8YPp6TMG0MA58R+eE2jqvr+kwEbr8oNvdpx5R4whk0aPc5dwnbLS7vBvudDYDI2Zkg/WjrmgT
Gwt9Sa82inVjMG1v8canMzOxOhW7VicIh6TbM8JQvG7Wa7PoanoV3lSgzLCCBr1LLlZkM0vRbTT0
9a+0H15kBt4S4vYdMEFS9NLkMnbll+fRQVLeHC/HZ9XJj2a23grFm8opC/rk2jjDLxyfuPnK6UKt
UW45P7psAFBn8zF7jztz6zOdwBvIoKFsP2zeT9BYcBkY6INbCbzcyPbe/BilWneBE3Wqp43Qm2bN
rM+EBwSKhp2mhKOJSA0MwLEyN4nLO1r30xSUY8KVYLdQ6ZP6lYb+BmGSzsAL+aZmZO8E1ND1YqNg
LGZucUKd9YJ5scULg5wAh8UwMr8V0S+Jb1Kfmxv0bQwvPCVMzNwbOq/3tkZguxsf0sl6H4cM3+38
5M3GO00zci/HAUwCmgaErZ/q/g6rSKGUHCJHCvR0olvWk+U8WWQ/DjFspcRhCjeasxI+kxzXksHj
CJw+Ud6D/egIpugzDqBC+8Sq7qxt7blk1dQlzminoG6xW+sFacDeKgke0ck3P6gU3J9y3+2+BHgK
on40kio0Q23Nd+UQUqg0LJlLeYSE+qlZ/BbY2D5kCzJCG8l/Krh8ysBByINlxfaRdZAjzvfttWNj
JNdMlOTl4RniYHWvK15iz6TEJKm+Ilx3WCoGpFX45CdYuWLmAlE4EbESPnf6cONg7A+MBltnH0se
pf6eQQMBxII6TgS1C8BxJYvspuI4RFeBUQg8WGyNhBn27rspk2WVgYBwpxQMrUwDJ5v2ZWEEFhN+
3HqRs45pg4DhMMddpdkvDViTQyMLunTKDuwmL41Y7nqKyF0IR5PM2OxCCYRGYXZfEd7s26X1cWUg
ewz1mWdkMuPu58Ag/jrI+1tMYcHQkzYx6c7bRLsCXSLrCm8u4Wda/NA0URMYitAxAgoA2FEB7hCK
4DEqloeGMEmxPYTnEhKDdJRXH0StIoAwvQEJvXwxDLqpJaeKSkL+Cgd3Z3rTlUsBrWVzL2y4Ish+
LhBvrqMijiDfifCFsZGpoNl0GgGnmyCfKNYMqmaeOUvUoUQ7FM70faTC+dbcK+CpoZ0Minsy/xBQ
FAuljg5QQ0BFK0hKAy1lGBXko4OgYoFS8RVTpQKukivKCjNnfYdB/sEGwFIrEotuH/zstlV8lh5Q
yxRDbGFk1sHjRVUPy2ViwyoU3QUj2oKkHFhFrROvBgJmUSyYui+oI2N91frTtaMtNIryoQMf0yiO
DDP8505iVDXtV7/+VFDOjSaTEN9W8lCAoikVk6ZlZjkrSk2YXTygNQs9EVejLVbRvXd6uDY5gBtE
zIyUEpg38BT8dSWGgw0ORyguDljpnZXqV0t7yzPnWwefMyqODjjimIFZcoLkvgS+ou2ASQySsbwV
YHgscDxhibpYo9mWAuopFLFHc2D39EB8RgXzUVQfS/F9YkA/oSL+0I8GCEfaxWoxddbEudzEihDE
u0Ztkx5kT15nTBN1zsM1IliAH9CFKjBD3vRMe4YeoeIPeYCIwN7hAAVNNE7uqwGqiHbEFYASG5yi
GGmFczsprpGcvwwwR47iHYWKfBTlULwLRUPytcNSQ0fKFCfJUMQk9lBF7ZH3qYP4OybFfuNmoDJL
6Ds+vXqIN+8LCCbRF68jSCYDNJME0QRClrk8dkwKqvHMQPw8K54THBbnwmzWBfTkKOJTpthPfQ8F
auT4GS3FXi7unZdgUSuWwcA+BzvKASJlY+GogUoVwKViScLKKGBSTsYH/sqObA/yNAFSsfdFu8qA
0Q+pijEx4hNFrwJct8JFeZ8qrlUJ4MovxePgfknyEH3Fv6Jax/PTv+L2Ceu2OGOlpLbh/wXJEl7H
HAcQXmBThxBaCNAKJagtxt37LHECyLj00qW+59Sn0fcLRg5i7RQ4VXFNElxzBVC12mrNja9D7wA5
Evbl76bMqoBQNQMOjfNhzVO9ygpsjkNiPMSW3h2msWRpnp3X/sOrRAy6n2kSLcbeNQCMKw5g2nHk
KuttHHKkzcarZzckVBNM53nOqlvKGcTdNcFxRSDy8ugILTsm3L8UfHkadKImPXaK5bbFphGgktmJ
rmOyVu4NsyMCjQHOEoWCm/XObumsG2Hy7ngiOQxiuJNwS9cADwAITIQjxAkC+MWysZ4M7oNmz2vH
0U8p4Iogpr2CnBJjXNUSXDxZyBVB7wocrtU8Dntb24t66C8gShkgpgMKvYEZbkQkqj59/aiP/8fn
9G/Rd/UXWvIn5VeLlq37Q+n751//1xND9qr4d/U9//jHf//L387JZ1vJ6nf3L79q913dvhff8j9/
0V9+Mo/+999OiaP/8pfgB1d96b/b+eFb9nn3HxJl9ZX/1U/+t+//EvSaXJl/Cb0+vyfl91+I1398
x98F2o7zNwAvtuWYcAM90/atPwXarvE33dM9wzNcRzjAaP/BvLbcv7F6uexmPnhmU+jmnwJty/yb
jpja1l0dKAoKbff/RaD9I7/+A419+Pqf/922kBz4ps4P8j0FvXb49f5Znt25qa51k0bwLW0d9je2
+xV2Nb1fiU9SP976J2gWG1QA9gH5xc819ZdL6p9R1AZP8K/AbdczOJN4hu/zbIB4//XBq9KuGkf3
YS1PGMLIvGTsM9JhoL7cQXGYAGA438b4//uwYMj/+Tn3VmgPLaf+fftK8R0XOAN3HCHWFJShvLFr
fPf/l4dURO2/vsp/faL/SQSfQYZi2MEjIkDslwtdJ/KGo5DO46ZLn//1q2q55v/xcJ6B5N51cf26
loHM869PUOYEZuALa0nlGsNj7DAQtMw7TE6gtUqvOScSg7upzKUOJdRmNrP07BdMm2MXKnUlsrNb
lHQNtBCzEmjMNRIXldDIUAwxjr0xPIaYptSRabn6S+gOBrGoqBtn2nbobb4GkG8TbzwGH7fcl1FG
69csSGYm7C3EkxzEKf1BrRGbIh3PlkPRliySnMRJlshbkDzw30aCWugq/WBV4gESMYW3Tvk4Ef3c
qq0Fo+0txNH4GFZkHVjtS+YD19ES8n88hqmcZh8Z+oaP5z4B8iXqZE8cEMBxl5jcCB+0EUv2x/Zd
znCmFvOd0CrmCOV8taGdjGUPYTO3j9IBD2CY8uyOWKpt+wgN9TCK7hM6160IaST5pfltF/05qZs3
UwxX0iU2UsqzZo8vs8Cb5Ha8slSyQLUcwnwM2KUjVmBHQplZ7CHInY8+YXbpzGgDl4FuODXEdZIp
8/m6fdOJKlrBysXASd71jPu2QLmIqtabNma1b7JPoxTfmO+R/Ji8EyJLNg4KbNrBzGw8j2DGcrlU
RrWrx3wO2n4MUfTGe62ZX0vt6FRKcgU+YtOTElyQUlEmhjL8JswPqzc3YgyQEDXTz9/ZQivFMTd2
BG+qna4zhAcwXjWYR/QPmbt8m2ZxjeovJhPvvWzyzexxCGFCid+CRNaMqZk71m/hRGHkMvIsPWtr
OsPVrotvfawUxBFNBT+nMKerPtt3c3XvNH6xQRZuwFhcJ7UNfI4phufED9BiagTmIBRK/BhZVQWW
kDhigaS4RT5ueo0SunCA1OQmCqhC8qp5tdiMjv5bCp7jAW86xVJlfWsubjpSQtYW6GY0APfQ5VHs
pMlvmfEMChli3da6U2YapP6aNEdF3r6mJqQ/YnK+/Io+kRa7E4xauFAZX60t5reeg3jJI645sThr
wN4MpNWA2OMXaSyHqrREt6EPUZDqqTjnvrtvMFys44bf2ZXlxTfaB2vhMskN41SlPlAlzc/Z3SG9
51p86HI9KIVBxnjD9dNkGERjTjZQgWBIMkONM5qi88w3DEjO1Rvteyw6TfgOuvSen0XaVMcaH/Ji
jKLd1Rrq+7jpNkY8nqMa4oCb/HH5lgrwEDbVJzgJxGRefqEvCEgmksuqs7DKtmR9wCusGbYYtJQX
ZIqm6iu7TnZQ1w2s06esGG9nXJRr2mdvRoMAViJEqqraXlsuYzYwifNqEDoP4JLEbPffuQY6YY71
/dAXtHiXG1egaux1dfwxKfiy9j4pJ2Mne3n26u6qla0ND4OX7+fKoxm3Yd2laxPVb0JwG+ZJU+zS
NAySNowCW91xlQt6gDSVBjX+QIdimrlnG0uk+4HcsV7UQRYhkfI65TxUNPhW078Lo3vELHubCWO9
WNypKM+I2rYR6MueNd4iqNt3xuvg8hoju3tzkxKbh99f2tmhS+DPO6+MaG9p8bwensMBMGBvj+6q
6Oh2RA21HuunwhgsuB+ROHM5eRUS8FmwmDE23rh1cs3N57ZB5K970I3swrnYFSmgDjdkTJNhrubn
rub8Fuq880QMbZeSJf9nOcJUO0uDeAJEkD3iPDTwUCaKkCcFllN3eJA0sr47yUI1zLwjucfijxKx
FOEDZks+zZtqLeIb8glrse/vF9N5iGnxO/xi3cQ/ln51Sazk0g54RdryqglItG1CKp0PYkp9/7QA
baVV7Yvx2gzztfXJndPCOyy9CHCSySVKeLoC09hGbvJIlztgUc1W5WjRPeb37Ee1xrTFW5vYRBUF
Q0Q6MoPM7yqdr8LmamQtO+iTeRmt/GLoxYUQqd/+4qKy52Ct5jQC6NRqmXi5pJZtrQF8qe6RGGEj
0F+HLudZdFfhIs+9zktRqF5UD3k95mWd1OIOPHtVux4TfPSnEI8Zw0UjPYWE/QezyHRuc41d06eV
LVrxjaeKtTNNnvLujqZks3TPc7afBtZPzeepcSjEX4oCRfrtm3pJ5oYthklkuuKEx9QtJ41xWH6e
oKHlIF9IQ/y54O26e2tkeiRTomaAFUgecz0b7KMcXACjdr/YkfFCCAQ8KW+4D2Mh0GVxcS1JMm/9
Rgv/tc3weCcuoDp3yU4gfDkySUweSbjzGU9tVCpc3+Yfi+HU61StatgAGJcTEQjrbSG8daHdkowJ
1rpxXY0jnYSxnfdVjaa2q8MUpYq8pDMulAptZEDbTvE1Ti2UzLURY1swGHa2JTeFmMZ7BLW3fSjP
TWmTcoQPIVc7X9zlZxNNh6VVfWBX8SN79A1vYbhJUVW2Gbw0b7zWk0ton42HKUs5QtH2/t1F5a5o
2QFi2CwbA6e09HgKUGox7OABRA8LnIo7lsE9HnCnm69gotepk+gBq6y2q2tSrb0EeXgyh9tZAhZ8
WiKkYchnOwZUm9xplg2t3te2QVnSCzpWMfERjTswqRrylcvBa91FMg90mx/Fpvol7SWoMaaT9GSw
AU4nRiynSk2W5pB5thjEy0g0h2cXO7TEay1M+5sx7fqbFJWK3djboSzEadGQfFq9Gn8lFlQX+xfT
LwTi1chDTeJtNLCQKPU1Pol11S79YXCaoBojn3TC6RIvscYaa71PoZoE46NDsifDdZ4TRgK2d9mQ
GcjLmROOkPoMeRda88JZQpoE+YdWKbqIQ4oFQ9OKhrSms2grPI0FX7MCDDgRvnWElkBg3Ngd0qY0
IbqOzjpyL70TcoTPszXcvDetozURazOvxjzsyTCjCYySpxi9FQvfg4ZSrvU7b5PSQfJkjUoZQI6b
UsDxVOpN0cJRYRrm7TWrPQnMG+bolDdyyZ4jjcVnmIQWgAUOQC5N9qDvPd8oUM7UIHyTZj1BgaMs
C9FyGooStdiQObzxc3GB66WmGhnZBlAHbz13w5PX9RaCf23D7lBxEek4O3XvOJvs6a01aojGv1jt
xhsHgB1RkIbS9tCpHvunlEQceLvhe9WwAf3xSyR0qoYZidd8J7TlhDXtDY0s4z19jIhLyVEGgqtb
xxXZE2bii3WFSj4liY1hFnCMrt47phrHQNwFQYx4Z4JGKdKuZZzEr5bF1tNsJg9m7Cpi2hAdW3iV
KDIMAzRGWG6MivKnHsx2B4gGN5BJHWiiJdP3aRNWB1r8RMy4h6lyP0LsvhvEbILkn42xTF+Dy01F
U64+J2mO6JmmTdcRBuN1JI/GgBH2nageQPFQJTXyU3JrMgP6SgouiHiIPy3wTNjzGA6muY7jDYSR
T8W7SecuDCbCFOzpa9GVhK9kkK7FFes2GK5ELbmNhpooN/nlf64oFooEBQ73C8bfykk3Pi4Ttx2I
eaMUm0/GiIpI9GW59ixyE3glmO47BcR8IIbrNAqT06QRymt/RTlvtoQvGdhlebZJPQqsnitNEmg4
0QsKZi9kFpskH1k35CBLE04gKXHevqMF+AcGREmEGVheFkJY6MzV0jjtllgMdnpDmhv8EteEiW6P
mAYD5JiRK9K4u2y03wuIgRRbh8UjYbMg/qAWdoFvL9yhcPO2qXSorsbuN/hICrcp++BUNDDiZtpa
Nxa1cEHT0iQ9ra4jdvSZwYUHBrQz4Vzhbd2Wuni2BSpC8gk8tOrKZVHdMkPQ1iaDhzXMiGFdA8mu
9U6N88Mnsh7jnW8wPGl7yhYhm2o7pKxH5EP6MQHlHijDDVKJk5VkH3E5luxth97FyIqoER2NZd06
lf3Vc2BlVJb7u9YWXeBx3Got96uIxO8S9u6RqFfmfUoeiScxYdomUXg6zcGxSRGQOlxxPetfcmd4
cGsm1AbIS7ag+BB5wLFzEXbEf+Nfcg3VPUtvtaj/bcOODexacrCd06up5yqNhGEANeqtXcLPyB25
Tjyz2hpiaG4kpUVnbDW96ThsZmlATQlxk8kCGqSewwZKhphuuAp52TrEJ+wiN9ya7YQKVXqvXWYQ
f2ihV67dB7pzCBm1gimkCRlYQZOsuKZqRtXXtJIidq7Jo0n3/sBswLTDx/Ccl7b9IDOl9wgzIsmZ
dDKftvTKxl038L3pwpmDUY69YOPhbx/u0sUImZzt6A9WgF+p2cQzXcpp2JnWi++N3fuU+48OSSQH
KqsK6J/DDDqMUeaic1tzxZ0ohIvdMHFf+6N/pxJmCAw07+J+pB8pW3QlpueBIhNPtrDuNG/6sNp8
3sBb5f2NblOmTiARqbZzZ9wV9fTh2bbPosh9ZjAED8aw5Ozuyf/N03ktN44sW/SLEAFvXgEQJEFP
UaKkF4TUkuC9x9efhbkR92Wip3tGTVOoysrce22kI2XHcu9w4sKSdg01tPbdCB7SVHFZdjpxn2rb
EZe6Pm5JM+70XneXHKGojC14vW2yPK0UMXXYeKOhCbSz15WWQdmVNPj8tbzh7/bGiBtjs9pcRnZL
Z+GOIYJb8vtpACRMrR/BCPX4qiIo43QgdoUpao5u0Hto6TcQiigMCETw1ThdIS47uEXM1iqyJFAY
Wfq8hSaPRR5BWKQSFSVGHhRcEeWh8lFIFebrIUVKmH0bQoQVfZPSNxUXX6WqsSut/irBsLOTSH4q
qX4tBsdezjeLOW2FoV7DYPKbuNS/6TzvVY5gx0LAhSVDnNn/Wb/0C3d6W3yIM3OVspD2c1ndSkKI
K8B2+Ae4fOUiGuGZWKCBlrdOmWO3OhlG0dC6FwlWECu2+RFHpoZFldErKDDWGTE0knSFkPbrZKe8
93heSOliOg+Y7ztR0CiIyMkINSO2hb/mpVDpHKbLvAuCzWCaqqv3inQMDPPQkJUwaG8EVRbbRdci
8CXE15u0wGJmbFHAADAvQCQh/keKtXhq1f/CD7oPefRiFGBIkxCwaIaI0YwKBHsZm6ohEIEDYTKP
1GYfa+Wz6jSZJC/UHwGRFvSjbKiX4MENzEapuRwqPPZZyCvg0z1OjXJrY/Wk6BjCG8j/26QC45Yp
E0AHXk2mo1/R1KO1aIAdw+REdFfsJnxtVLUKKp6MVxnOuIAZrzWkVm9VbijMdDBvZPUreJ3KmRhg
BxMp1mk7qG5Y5VciKtmZ6SZt5orrXTcUlttT2AP4YxMMKmGj18O1U6aG7hCbeC/qb+Q5dJ4EwDlv
VjgfQMeDYor7+CqI6LbmqJuYBfZ/zMdqN9liF6dBh4rYkbHf3QWjN9HVmytuLdlyORpgDkiBjxWl
I4IFUDOgTr0sDYfu82s1x7hXud+lWt1s5voJ1zZ1dFIZIEV6epKYW8a5WNsi3kFdnXuDxzGas+iY
JZQ/8yojEOV7NpKyUHTriA4Z/JDP59RoCHueeoCLsb6dkV15kcbURJIKZ2zb2Z1jtjAcok4Krgir
Y4qsfxpOUzetqLIILRUtwd2cz6M3S+UEvKBxLNQuHiwF5dknxrGvx9FbhKbYqupSHsqUuVGyWDaR
o8IeG/XdCIV8DwLqptSKckBtD7WRrT4VDRJDS9iPScszh/o6gp0Gh4nOL2JltCBCqO0YobTuvCjf
Uds8xra6yEZkuErAlJuE4wOOg8aTDUPlcbZOEPAaggoyBjzyhRxa7TChVFXDGm5qzumaz0CshoiG
U31gw+Fiv57Vem8RYcQ1LYm4NeHLZYDeRpS6ZJ3TTkNKPS71s1xyQrsRgpkROzuRaBx7TQ8UUzep
5HB1WUrp5iMugFzkQarwGTaIZsppmS/TOD4DyLRII0TASnPkVxaz7NJQmn09/rcvJq9k5TVEWNEp
1sExtU0Zbsdg6HB15hlSNVqttfYM1swZpExOozc/VS58ZLBI3TadwE6mnAqZZm3G9QOUtWYvtZQV
Uml6COXR5qO6HEH8bwsjgfbB3itFgea1hQVeusUnq/KZgrZvNxpm5RVKjULEz+bmoGv5LQJut2kt
TsxxKqlYUjeh08Yng8VAN3h80mlloRBMB7AJjZWAkiGZcWT3mA3W9dWBtN+KCMjxnJHbAWLwmAlg
dOf2n47f1M/xBlsh/dus2LRhHLlIAbkafeiNRPqKy4172k5Nsy9zCcfASPMRojfPCvDnQtcJdFtt
QJq2RsL1XbdpJdY8i3s60PH90ZA8MFrglaHgP2WKcBnIztWn6VgUqI6WSU6vaiV8AxKNQxRtslh9
WQ10kTFEm8JRJPnhpy78yUtlEZnMBhy2M+rSMkLPicLKVgaGCobNFUjeZhAnTlKT78qWNcdbocrq
xxu5OUdB5QJhLZLm1Fb6Q6iuRWg16rDitVymTW5UgTNoIrYRowZFN1GxMV7GHqVNjiLhRmgNCINW
RHtOY/2Zgn7WjFpB01oID4NptAuCQXNAlUabBXo57gbsD41OJ8gq1w0oRB4DKPy/nyx25qM1524D
6crF7EI+wOSm1pzf4vlrwe6xpYty0gXkCCj62U2y71jAGm2tqJZ2IQO+1/DEGWsTkOQZrDX1ZZQR
D3LZQ+M9lq9jpwrA6BkHBBKnhITIy8pk3cPTfhkFGtCdSOgEyOUhfwg/WhAc0LsaTo4dyZkj7VbD
TusqBZGboHraEHl1Ve17tf6qtf3ckOKArEAgzT341oPYCxLzTHHlWQSMLeA5KAskpNe6+VQmXOoZ
ZkL0KQC/pKOg08YmvRg5FDJF3oVZNl9pg9AAD5pq0xsltwEk4fBjybSUGfeedfSEWhpSuCftvCnv
k35U9BkyjwyCvdNySkSDM69rAmhI7TGsAgSCvfQQKmRoZgtQYr1kRMTViVp0C4torzUlaJUSvLWY
Ks8AVZRa11+mTDzc1As3KtSvCkMUsJcnYucjc4IbcXyePArkWhoM9uXma0rnyhmrcqfHvLVmKr9o
DD5jiAOLoD5GzGFxN5I/pbCRKUSrhVVSuaz4r1ZfXpBsf6gNv5EKDRmuvejO0C1ogFUbXajuGTEb
+OsNuPUalPlJ6uhjvXc1QOcqto5kiVHKK+U/mN8S75v9rFH4x/yWS9InTAQ+FswyTDW5Jaao5YyS
nRy6n1NDXNMKVLn/nTuMwP0mg/3M/UoMVE6ROmm5x4wgo6foNEBll7jWwkEGtY5S3tHUe6mr1gvM
WoSKXAIFdpcCQbo9Ic7aNhU1t8aYRU8a3Rk6QmUQyvBIgvIMBhjfSJtHMzecKknGWznUO8OYPmUw
z1y0Ly39pU2iIi+rdOiWVgLnUtsVAeFrsayf0hYC0twaz0VDHKYPZGXmlE5RVCIwKs5RN2JGihrF
HhJu7mLYU3SuuYkpx0ykI13575KXhXQRVARNnQgMRYi/m3Sezq3Gth8LiFPRgfAauPstM0G/kIkq
BOflizQo5k1L6ejheUhgfc7VXparGo9BZ91G+OX57zhY36Djr4LMYw5Y+GMa2C06JJCD+RAa4pei
hIhd0s4YJROcSJ9FRcwoZmscBKteSWZ6yuvFtlN2WoDlX+KxyhS4+0Z+A4LOV5iwQU7RGuCG6sbq
KUsMyXgMUnhv6p4G6jBG7lwRYcyf1DUtIkSF2UETbm2RQImqjSu5VeVxZOJw08X9oIhv+YhVom1E
DFBT/Ez6OvQFKWuxfCgedrHoUDKrs8VGf9XqUcWcfKUtEOMG03G5ULuojJhIEZN3TZ7eMSnU2EH7
fdllzXYBkLldwVDmIpxS/GfRPP20Qs1siKb/gWIPnTZJOgLZBS6WWmKGuM3308Jp0pYcuiFfhBzo
7FR8ZqaBgikbmkejveZCvIqhNXg+zxqar9TRKmhMP6joX9VrnfrfWQjVZKBJe0cBwGkw6edQ48g2
+/QMGZsvm6YqxuxTrZjEumgFeQ2V8dBUBeTwhNhHs0BDkWDCIcUYUeTL+2+jR7FQ2O0Y3DoNZBgm
gu//lq6QOFzxxUwT7bReK1CkO/Yo/BG9RyEEsFTM0TxKRefm6UCmQujhF+sYBwboMavhU52MszmI
NBTW55z7yp/S8L3LyXcTS/SV6+qvB0NgBvxYq41A/1boVwMY5f+thiGzHtb6Gsu13KrTlYFN6wJc
PBURfcQ6KUu3LEpmYjON0M5y9IpxL8INQNolP7LiNIO73rqJsni9ZCKakzTZlxPryxoZk8aBShKQ
ScJmSgWQkLRhixIc91JJkNSq9DtIY7716otCY9E3SgJFS5K3uMsSqwl+gO5wBLNyYy2cykvbM/oG
8+nxCSXDuCYxkVhUgB/QDdixYEUIrCHASZe5b8jLKOw6xN9WzfWJuxeVoyhszEn8AygibazIMvzB
8KVO/1lQkPlKG+JVkVXFjYxuOv/3q74dJJeFKjHQn2LPCjA/9Sb+4YxSIBY5IrpwGHeqoqKqpTp2
KsUsENhXr1qXpnukxcZ0kwWeWVhbGH4iLArFNJc+bCVE0NJTjoMD88rMlwYwpTDsec+WKF0qEYhF
OQ7gmfHURQlGlIDzEb3ZdNVMTMGhlceXTsx+cf4jdNSbnpaC6eqBnL3XiYIOG11Tpn4AN5tuizZz
lYyvEZ0ZL1wwB4kGY1LZZGojKbhLA8gYgsG4XzGdKv+cxxAi+UgWamKciggvRI/1RO+Ss2WJaPsX
SFQhKanwQehGcZkSfDHG3EtM1Ts5VyHPZJ8ctIa7XRVaLirb/7hOx1KjsyDXSrfp6yreGqX+j/gU
pPpgIZAaQJ4zQ68Yk+zDKOsrwcVOu2gXpWpEDrwEjgRE/A1jMELD4/mv74ZD0mFqQhdxHbhHIKlu
P4qi3tL6/wmq+CR0xcp8FWm9RYi9cgLK7ThEoG6EwTPsBOFzhTgrcKaT5VHWAx5zo/21mMsj9KTV
Sb+36gzyCNYkDkiDFMiMVmEOxqBooebLa9i5SNoiL4rrPoTfixST3gQUmxkhSCQI6+e8quVtIdfQ
11PodgoDLHS2XyQwF4+JACZKy2xLX+u1mKtyP4I5QJpK+15JFUe0mH/GiuijqUOsVoF1wla305Rw
3lLdrF3waTiqlRptiEktcHG+ylzPKlSethBED8B3gcvBZ1IGziq+fnWPopK0l8kPyE+kt5ZYfkjY
zyyhIqpy6Svrejp45GxuR1YjkENquSBFfwrmGsuEsGazF+lRSec/8r17tx/mxZfpLW3VtHgvgC+7
ljzRHGLK70UTbnd9PMi1hWCxDLa61lEdyfJ2SqCMiMsCbFYv0bGHMGcS2FSoTYhGqcJVOyFtNID4
3BuL8aUS59LVNY5QChvLAbe0B+pc3w11E/W1vu1L6zrKNDp1TKZMXfRdISiEopGgkKqjhEs2xyCc
ypsCOMsu5j4E29n0pMxYM4Ilrh1gJUnb5h8E2La+IhURIW/F8v+/lEUWmNSq+BSqSoW9WLTn//tf
mR/yR//9t3XXLMr7fz8hFh8JYsYMsQI3C2ytnTrEdsP3SD+eH5vkXewpSfAqhpW2X4oTRn6zuWSj
Ahi4CJUtNxvIYYNsoUBZrBsoKOwnlQRZGnf9ToL4IkDOnJLwYkUERt311S3TtlZwnvE/IBj9Ljrj
N72BrZf2cZflXjUHl6odD2lkLVfeQ+wT1MK61jaGiWy0EgfrIspQHCwTqHsox7cClBc69ChFAPOr
aexjuagaCNsgUqX8fS8SB/piCi/BaCtpZh2FUd0XWld6SVV9pKQ60UkYPxKI4PkUDCdRj4btaKo5
6oCY2C9LOYWN2nlzxneoxMvrVI29x1yfwKQ+Tg95Pm0teP1uDlnBljGFn+oyKVC0TLsK5PZOpmTK
k8KLLeXQxEFKZZ3eSXNuPAgnr5OMMCPBTbyg+2JvXv2/ef8kXYTMvuplTgXGtHJ3hbDV2aMOkgHI
IsiVHvHoMgxEIA/EksiIeSMpVfcKuj9HE6f1hkV+BgF0qVH+0VqkSNeyp4VUPI8Nj7zGiq+X1N6e
Tmlt49k9iPn6pONlsi1lilGOl+cBcxrQhRT6WthaPlP8fS2uMSxy6XUN+K2CFCaSqRm5I60CwMMp
jIwYm+NoeqQbtiQNUkGF6LwVKJfbZbFwOpJxtG0Zq9F90PpXVDpAYJfZgzpW7WkAxpdItHZj5nTc
SP1SmH+x+aVPBBUYlyR/iEI40C3ajzhi2lyvntNZo5cHg5/wUUvuvbRgsaPWsussrw/kTzL6qtJw
owe6bPcCz39aVT9LpBheFZn3qhrpTFRMceuZ0XSyypCGSEsOhBB5GbFc/izrhLe245+cjGh284w7
HkaMpfxLFO1NG+d/fUTanhHDQ4ICyuzNpTFEM1Jag1GDBu8Q9+ewLx4sYsx7sxRQQWfNrosW9UW/
mkLc3/pY5Nod0rAUyeRQxKVw2zIgk1YajX2RwzIDiwj0S5X9Bj0qj8pATpaljlvNyGiacSHfNV1u
HhLaRfuohcw/DAHsO7Jj/FHjbbD84XkCDj6UYgmMLwAOqfcBsMRUBsGDl89LFeyiZcCEHeRLW6vB
GT2UTGZOIl4NKSg2Ra0Uu4VpDwoXksA60Al3iT6kq0nacKcDC8VU0IS7MpruIFDOm2E+vXQqo/VG
6OJHrQqqIzS1+OitGlOPaiAIb4LGqY2SAjjSGXIyKN9LARcqlSfM0YugeRu5xjh5kjZvhJCywrW4
egsDatNJ7Iu3rmaIVE169iaZJmCGkbmw2FSEd4xt8gbdAIfU3ERv9EIRzUlp+EYSZu50FKmvU4GI
IEss85WNiYZ8WxmvyKtKRwK+dw1SQl/mUqbDjTzKbFAk/vev+C5lInFKcTPF7z2ERSJgmK0HmIo2
bS1cAXFre2yp4zkAY3LuupgYoaJSjn3EHHP9/a4eO3gTUPflzNBOrdQdmsQgqkc337rUfO3G1ZBE
Its0khWbruMF7FrA1MOPZOlw3kW4k9SwNVzsDxKfUjJBCYQ+1/Y5vfWBL0LAPeaidcMoxVwgbhos
w8PKGi6ZjTaiNJ9k6hIaI6mySbv8S5iXoyhKJcaGZNwu1XkclXJLWqJxXXjF0BiPRZj4BPpk91xb
Vfw0wum9WuxnQ4EuitcfpI1xSEcgk1LLRFCtUEoAc10FO0LnlABgCEjbNHGkowswhpOmDkxPxsD0
Ee3gFW76excmh66B4Vm3I9MaLb02cbzrmzHxp1XzFSxs8sPAPHlSsmNQwlDqFj+oDZ0MHtJISKYT
OQS6T7B0y44hWwtiufkxg4SGGzms664dklDwn10MDmPO/YiU1ThY77VMSZwROSibO5tIMbTHuuFo
0KOaqZ++JV9J8BCCQYaSSR80IwVjS5zqtlK2FOwZSJHOMHFFaLpOSgz6V3z1nglg9yCppFAVtIAv
RpkcmXwd2ga7N8FppVeZBBayIUw7lp/GCyOlbKoRsS7eOMQ0z40Z8zKx78ScLFRpWaTtel3nTj+R
jTNThxBmz80hYbCoJq+tLtXXcMZDqNAUY9tetkpZzz5XITmM3xZiye8hbYSjUaNtKRQxOLXRiJOn
ISnHEi0fSZyDbVtl9p+xlYQNYXqYFueJngBvctlnUbdcCb+R6dSdTFFKz60JQYv0QZChGKELwzB9
ddCh7cZRbmfivB1C8gF1Tb4wFUSoqihPIcHsljWvEUJmVtZ80SuG5ZAZlJOwsONG7X+MvTTbZSGW
oKmkV9s3mKqClqZAQigEUfIXhBYTBEG0EQT0cPYHm1mPyKudh2c5MR+ZRQAeMc5K5jvqeFADrh6y
cenUnuiViIFNX8m5L0QDDJmoP8KYKPcmjm5IJmV9pDI7h0sweD3rjdF6Ss5UVD641kmojfRDM1mT
300q3O5maLeV2m8YxxKfjSbC1wyh2YwzSrwy/BBEMOHEwbbbua+v4Bc5GhpJ3XGGvssy16AIKCvN
n12zokhlgQS9Nku8ojYx2qRKDc8LcVWnhz4odQ7Pqrm1CjfggYKApMyRHir2dneZptXGLx6pbGYW
43A0jM4bp6w5TK1++e/iyCdpN7kubKN62RmwqGkXoCAYtC2aVJ2o4waQWU++X8/78aCInzSoNgzk
AJmncMu9WpRRhgvhecnl6tiCetgIypxvcl2lrRNYdAkR4zlAX+iRJskb/ODMT5dir4uyfrD07jgn
WrdTk+SqlTNdkgyfolKr/d6IR+5CXZhJh7DspcMyMB+s1sP/v9/77x+AzKRDsFjI0rRmplmdt5qb
64aya/R2F2qGeEDGZgqYvxNPDep8r0yzeIjXP/jvV9g1M4y+sDDrCRyoeTIbT70N3VaTSVDD+G3r
EGJtVKLmbQAqbSsPkIf72JWuxbv5OfyzjjAQ1OgpkctK43dDWaW+cV1Qb0TDSepmvJnzKfgiS7Ej
RA+vEVpCMCi0VWanVcGA2dJHOHhA0nbiLttiLf3Hb1zKF6zPN2T0WHqBZeRv8i1uz8vHGjaVOojs
tGth2fBSmlfjGHvLSRA9YfcGeoM0YaqS5YLvyHowIhS/jb18TqAiv6TfuuGRO7pUtrid3Dp1i5/q
QQKuVZ+M6kL+iH4L31RcZvX3UJ3YEPB8wxFpGWUWB6ndzEA2ZJcEL1zw/QllNG5Y2tYsM8vcwnCx
m8xLjkG2RQoj3+tvYEz9Ls9OpkGI9z/eOuI8TyExyEHaQ49p/Kn3CEvwfEVfcNmns4pMq3EqHwNl
+shfqLrVguSmjYhckb3jhoek3xdvyZvwiZSAVhK2h0257bWN8qZ+Z8C/RJsI7yX67U7Kq+WDRc12
PfApYxcyTLSHQ31E35ZBo/kcvvLBVm6Ra155c7Oj/pu247PCYf4ePfo3yWsUB6ntCRNotdjzC6ca
EqItN05pg1xkOKuGTdp7hgrDLl4BQqImER6JAFLRnobN0LlBd14u7egmR6tgnsPAh3alnWkOsFyy
Ol7GHfaX0mPYIyQbplsHvO98N7NfHPM36aI9itFR9VsvE21iByfVBykw9P7EHOJFvBkPmSArFo6w
F1nXtfve+3gDFnrDiSMc84N5onHMRfKR7LNpXQEhN455Fz7XZGev+G1O9Ydwm/wMhf423y8b9fCK
cHITnYiiqp8xcAdMpo70r6Xk/QL7fhbP0g8kA4TIbo3N4dJwxn1ih3iyAefKHsa3BA5Y3aLE6DhU
z9Y+QnzdOsYeZoOo7JNXU3R6brKTb9Bk5lF1+0ftFWfu4WgJZkcQ/egtW3XVLt9Iy4ilcdujbCd+
+DK9CtvkrG3jvfHaFFct3kMfDUL3Kd3ka7CnNgVnWTy7zk5/m0PusA22NEvorXohcUwoQT9at3wH
J0Ub8Nl7qivcwWkQJ9ARsx1FHmqS6Dx9ZX5zMq7V9muKnPaobAmOyO3aNd3pmX5iCHkxbmhcyneo
svSiQ8y/UOM3ERyqv+Qv68DoOy0o3I1yFpVrt5MONH3GT7Yy5Zs53yqoRwG+pfudIcs7K3wwKDV3
xYv1raVO/Vm+Cg4jk2qrPrqDOSJ32OE//xTTDYNWIBmnei/20L9syyGr/r3emy9S5Iz/AGe5zba/
5C+rowcp7mKLu/QlG3fCg15RArbpSTtIfKie/K99T74I0iA9dKvdFsNungQhmi/cE5c/2JxdtsuP
4otys24RvJLWDvYLDeQznxCX9cRPTbv9FlS321JuFBvGRLof+eVFfx894zM4NodwW+yqvxbzpZN8
1+ukybbyg8H0hB+O3ZO4IzsgZeszOPTGPbtl9Lo8En2yV/r276LiAKtdEa+A5N12l7MBYZ5BDfQX
iicVvW7PkWgbP+g45xkDzHlEWkOuGDvQA89CzVnDogHJB1XCQprnatSeuR0oez55u3qLvgQDr5HT
/uPGOm262UadyDCW2KxNu5OuEerjbZK6+qE/xiQov7OYiE1cj6ZV+2Cbl+oGYXrNPeTIig9EJcDc
QQCNvE7ftH7wqlYQ7xyxuSOIhEUrvMjMHe/JK3pugVawneXQuTbSad5hvFN3TGM7h133X3g2T0Ru
DK646Y7Cy3SFTHMRGKJSMZysY6idgl+YZ8mRFFo6wExEH5yIErXbu/YwrsZH+MKR8GHslR/h2O54
/hIu9TQMcvxoTrRr3hofMVCMUtQRL9YGM4MTfeh/4QGZeMjw1ZY/SN1TYfCzVJmR7qQzmMh4yyDX
8tsQnYKDAFjErmttzJcGRN+fGG4EP/kU+Urv0l661P1XcsyfAUubGhy98mh3Drc2ZDKly7+U3SVj
K5uDXc1+KALl2rcEj+zz2Uv+rO4NzhhcyJEjUz3Bp2XQK5Cxork8WSrqWrf/yPdttWOkhKbCYJ3v
hRMjWFTWs6sglmEAsltuEalrsl1sQrcbnYj0U9u4KbMte92bdZKIajtggtQMu95OR31r8ZhIF+E9
3XQ7Snf5Gv+Gp6R0zR9x2OvsqddZgqPvAR/Pt+iEKYLUf8ThHphx5rzF+nXo7Hl05MKZDsh8o015
JtnvnRpdOtYr1IckQ1f4os+PHDf40c7paMtXEBlNAOmJaPRvCz827h7x1ARsC65w01/C4aZP/nLI
XGBuTogBaFufQhs7+1N+zO+EiZnftH4i3zwU51zdwL96q+ZN+49HToKKdYBReufT9cBIRy4fmDFe
+CAWciUJDX2k0c6ybslo99JeZozW0dbkW+KZtpWnGPu6uZn2REdK9rCTtgsijfduB4PHMm3IMPoP
VA7ibVtHFw+B6Bqn4Y/o7IDeFwi3fFu8tQgGneFV+Fj4pEk+5jJ2McmuZ960KeZ7dsiKQ7CzuPvb
9THaqd+qdesvCBPLaXZmr/0X7BXBsWKvvyfaThi99hV8C/5FqKNIVHM+vAMGxZlYdsbPu/Gi9Uc9
gpTmyEfjr2RtQ24jBffETF679Rz3wstMvRE72ltzG5HJfxdoLjdwkqer4IVIalDWGiiTbbXc8GAW
22pr7vIO9MWFFdZe82ovASEQHQZWyB/6Q9a5Jlakwpfv/PcGvCDcBsNmvk/DwUi9VVuZApCymSPp
kacUnqn53Nlj/UalkJSvunrqOrclrw0GVn+iYKt+m3tnvXTJLqAM/UzyvXRjg0L+JMevNAWLe3uJ
LwWeSn+sN+FL/1yz4Rm8aOxRGIdcQu8oXKp/ouFEHPpv2mUih2b2uBWjDCAZtyTl3ac5RzmHCik+
A7f+lE9sEtlvchs+DXp3O9IUP8tjvY/8/tB9qPeKxEAmwmhKX5QyAi1LkrMTLbsod4mmMHbWZ5dv
TRRF+aFUABNcCsPFAhg5ZnAJl5fyp/qsIpwb4BLgoFOa/4baBrtH8Ye3K1d/8ZbN73gXsWFluo1K
DuHgKviGr+MZl4YoO5826aPYxv2hfWHaGTzBCS6n5a886i8luRdOsDMfIeWXX7zhQXWUzoEakJ0q
DS4dvic3ATTDw8q3xGK71ZLToEBxslfquK74CgGa0Bo9TfT1nrxOzKGYBzi+yGfEFGabdyZuQfXU
hptwzV9wykyqTTnO9DpBKvqN2HP55WCrMUYcQkoJ2wwO4hPdykvLrcMXFEK47eBs7loE0/QVIfTc
tBM6+uRt9kgDVb9Z+II/ZD51K4YfeKNO8Ulsd/PbH1tX4pHheEJVhyD/DcSn4Ac76hY3v6UHpXHB
c/qZRwTLyTxWeMFMqmDHOEUXKofwk2cmg0npV1hg1G0n2tULkW9V4q1+2xQF+6YBN441htWm+YTh
5PZ0oK9On0KFaoqU3wPIwMSzemH8G35KbFhUVNDe2WcPqbnN3gLJXcqfD+Gzmj7F8jZkbv1O1zkU
9kDvOX22SBQQUlOeTc1jgthv3vtqA+M4u3UFYzeHT8764cvgVE0p47nQ7GVbOOWP6dUED/hpGS7B
G5FNl/1nBrDzwNDCdFICTXldaXNe/RR3fI3BPVgDKTjvDhGFn0x8omfKu+iVB7REOe6pfn4DBQXq
mP3Tz/bZsfwaTDs8ZI/wTIoTaXr1s0ew80sj4K5+M5/hIkrBam6wyVhHFMuhnSIW9+NrcedlS1fx
U7wpD5oZ/LW4o7gjAGrHR+JQi4uH0uXLFQ7ZJ707LgrZbxscEJCsU/ZH+MNunAs+iqrubD4x7H4n
f80OoLi5rzbqv+BoYtYMuPNRI9vlybrjZaSvVx1Hn7ApomI2EWBkZljch3adjUrmvfGTDWcU66V/
p1XAed2/0/roagfuCJcGN7yod+Ej98R/4uxVoQ3gTrim7IcIP/nIuy/gHuq/5o9Ta6xduExl6457
gMrKJvgXHNpn2BwSxLx7+Si4hk9ANJBZYMG9uRe9+sMiP2viCeXD/kNCL2i25eMDMdBKuMHkAcK4
NbfuFTHnE3RGif8R4SfPKopQD2zYF1V18sfuB35dJ7vse6bBF9q/A5AoTgV1s7J1oSg/+1ukHLMf
7Z3VeY+/gm2+swLyOFzrYJwl/IU/zBYQXVjLW0QDE7AKUnhb/RSOImxEW9kAuowBD9n6gdGJG51Y
VlO7ASzjR1jgr9LLutmsIjHucMZeulbrJdZkwrClnxee51fp/Z2IBqlzafswtMVzzsFYf2Zo2Z3J
U88sHL6k6CYfol/sr+Y9K+34L3kM/zgEhBfJKz6Kx5xvS86JW7Cd9sYLexQPBfgVPzkqxxngpm18
gMvTMmd54YdNH11IjN1eBSSmUKU50Z6KOPhFOc51He1t8kuKAYhJxo2cPSRnw6a/s8uHRITZ9CLx
wDzKc/mFHN06rv1NganPJriHLxHPkx08s1/W8AAhjKsoekzxFl/YjmDfC1jObMZd7bN9ah/tk+0x
uosHjARXAnee3F3VU3GUPOOwT29kbr83PG1gaZrSY/Nks9Q+qK1fh89xxzTmWUHtcwQXeErpA8HE
bvfOhR3GYXus0EmStOSJjPwY9r1ZPqvpu7nVAm0ZJ0UUVrjjw3yfp4PlDufg3zg9CYMW8q0mkhnG
3dJG1b8zzimtfx4bHD5c4sBmSbb4sT5A07keD9Vf4GnyblE9mPxT74n1LtzyH5Zb7TCfqwu7IJpD
y595sc22uWv+tOUTEI/KhpCD7BWPcWSn9IOKN+I0SvpCHJQMt85r+YyX8LugLIs200b8qU3Sizds
4E+BjXwVLtjVzjhVX+07dgqZi6d0E15jbUWSDzxKvbo1EEGPVhb4AqMZ/79fpRMBMFpaWW67iIlr
NDzSiPcxNP2PtDNbjhvJtuyvXMvnRjUGx+Btt+oh5oFTkEFS0guMEinM84yv7wVWdl8xGMboa21W
JUullAwE4O5wP2fvtX94RCFl9DXJBKHrpgV7vLK+Gu2D938fIcJKorpgqMhoX2mtswwJ+OJncbAL
QgxTxhh/U2KjWgFW43tbFTxk1YRXjWEVMo6gdlaEuEsC9l6olFGIds1dpIbFOk65Hj9vsToPTAbI
hNouRHYzb+hs4PEeDWRw1ZXQerZLffb3L71TXoNHttaEzcU7cD60KAUbSoBtxU6+ybesku2VVBqn
mSHnogiLPmGZ5AonlfdfrPERFLy3prlAEROBcb6sS2DGse88I7IsNz6w4Un3iAWRwrPAe4qSgxIt
IDHVDI/kS3lULLqcuF6XQDc49jed0F/1CNRUGnKYs5yDy/fdBQXtvyJpiA3izOUqnL8l7u7CG96M
3L12CbFnC+s1mMe+hZZeMVUIasNAOWuEvkGvDA+8G3k99gcbZN16xGpBZYbGmZs/iep5EKhXp38m
IIbYjKB6VcLwKOP8oeyr+1oZI9ZIMc/6+KWzckqow/OQK8a6FuqGyvpKG+y7iEjoXNFvDA6esnXv
yUl5sF0OR7ZuzuBacmIpjY0euweX5s6yq52nvBnNVeShBnL78bEDI8XjYAOTCZc6Uf7qKC0wv7ZZ
lGr/ywGrv5Ouj6PP37hGeVWlfbVtcFmxzsTxtrTZuto9mZqDf1MqmE4wYwxrt2jWLbzneSCmLmZl
Xzux7PdtyiZTthQDi4RykDKSZyH1X8RfGktHB58ZIM5YeJqLf/R5bMzfAiAlIhFmXdTEK1KHImwU
zQ4D+01Y+JyGCRX+67+yWP+GIf1H2iR34Gjr6p9/aSCAPgJdHMRLtmkBHpcaH3oCdIERp6et4pSb
TsCHyCSYgpb3he6SDQHWN0mKdSnCXQ4iHUTF8Pj1x3/mu0yfTlqZSla5ZYkTvovdm31tZna5UaPu
t9uLhVp5lA5CqhjKJFByS4tql4pX+uvP1cAOfframm7YknQRRBL6dGG/Xu6D1Jtu0v9QKyvv9V4j
pcVLyIfDKVZa68Du7gYLL/yooqZPymtseNeWRM9JO5mTbWZsCaDfXbiU6Tt+QOrwBDTd1g0hpOSK
Tp6AFpkECxlciquCRQgLBSyE8uZnDqrIW//Wy+lPTkAYhm9P96x9JLBgJNeJVE5vuDAcPmXcci26
hhbVcISpy9NrMQNX08kooldepBiqQl7wE1YgHvIXHy+aqzjiwpMwzg1AHYuHjcVEtYR18iQiOnZj
nivlxkop99ld8kimFTpJdlrNWCPe5PbbWv0jz4mqSdJ1hRO16NnaIwfAZRLvjNgFtkkRjZhPkCc6
e30BK5eSzArbLY6rsnyCZL/KB5SpxDyhOmlogReQIzgQIQ5bBk59+PqhnnumumHYWGSdiXp1Mq4H
jzxvNfKqjZPwIrTAw8wIebswed4H6enIIR9OdUwV/pZt6x8HMSGu9VBLvdy0pXmETXOASbvvbIrf
NTMmpwRrd+lhzKEtepJ/6JxtH5rX+D967OvxwfIZUXGV33VXrnCuePbr3BFvsp6YJfmPuCiviYsF
oWMVa7Vy79TG/52VQBy/vln6J3oWo87QLVNXpaNN2c8fv4c0Ra95usFxQLI19ewMWoGFxolWy5Dw
TMcySDaJbWx7aE/AxtclOQRl/ORpHQLHCMKI1b95Un9zovKxmpgLhgetYOy8Ozdxygtz5OzaYQga
dxNzTLfe//yPtcOooDTbAZfLyJo3GlQbDFfzccJOaUn7CM8ZPUKV/+jNfWhQu/QQwFGTIe5ErS9d
y7nZY7BwqwJFPcLQkyHgISzRFIcU+Mike2IDN19MtJEBPCLG42LtmcynuqXF7tHG6Pzk9etnd3b6
GtLUhQrnzWIgnjw7/Cb/HoM9gqJFqRHQFLUBItHh0WlCwP8GsVvTzMOXFQEEmR5Oqz+EDnWlCSfT
Y5PDxt6/uRMQZUTsPye34K22Iwqu3nUe57B7Yk7ZssbePxxb3/0JJ2KPjZKCadjuJspSPWGovv5i
Z1+MhnQsm7exLpxP6xIaVAaQClwz25sNJXbLwBWIam3Vg5qpQ7TEoya3MYXzEPLL159+7r3ICJuI
Z4Qf6MbJO0H0rmhEwjthmDg9CqWJDkIqkzZca579GJopBZKuvvCdz61aQoWYRFoxoBv7BCcX9U3a
DnFXbsaeZ4ng5oflZD++/maXPuPkmwVmreMTZcAi8rserZKo7+TC4nt2TDIZNB4fo9L+NCZlCKtF
r5kUhbYyOloAA6uI7BlgZpYe+ndMkAiWZtFc45c5YGqiGY9+OI6vYrcgOrS9blX8oY6uLbqBjEhh
UzHwB/9HMEUJVCiAW4OR3CjDo5/zbh4mYJRn3+eB+3MCjjkuKo2vb5w2TeWPq72hqqZDlpFQJZL9
k3eKMPPGUIAFbTzE6bOa1/hMxMlSRwQ1DxOmmV3Fj7i7aTmAu/GUgq5JztY3l+ni60uR567EdiSb
VVPX7NNFp7Bs1Rlyo9gU6W/Fo9nu69Sv7Vqjjzsc+rJ29wbACt/Yf/25n3cnqCYdhHU2jFHDeb9D
fyy80tPqsYziYjOO/gLc/jCruNnzLG/xo7Holu6l/dA04k/uOd/PMW2M86YhTnfHsgqCcRgc3GHC
gR+BMput7Le8DJ++/mZnP0foqsYDZjUX0zf/45sRSIy5DND+xqF2M7r6WukwMxTuhb2m83nba2j2
H59zstlSjNhyEY5kG5AUtUKgKZpvTvkEiPTIArRM0Fe8j4Nsm1UhKZtD/l2EW8Kpjnx9ag1t064U
OWmujGRpoMfSDF9dheyEZiOxJ0CoCfIVlKBEh4KtEABuGo+akZA99vtcTdfwQ5Vlb6ooeqH7NHB3
FwRFPHgJPjDd5ZgfGluzqLzV2K6yKVqwE3TotJawAOkJBPBZvfSz8Rc+c2XbcaDEM0lCo0kvP29+
tY6KvIDseA7E+MUAirx0YMMFHgPH62v0as53wrEJpzWaHHMTwW3ZFhmSdsTHuHM8/3uXWCrCVeg6
Zi8OXu7/VmHiLSKXDrZNJjvJO5q9Kk3zm7rSw/GOQ3MBR5ySq6QB3lrYbQgPRSjX+0/BOB694Pbr
kaKdeTGxobRNFgMVZZh5uluK41ExOKaRTUk6ETWV7qGN04PR6Q9OKX9SjWhn6hAdsPOQERjeVdIX
QJo6rP5XWWDuhlQ8YF7/Zmpgyv38cVTiH5pFGJ1u1FPShL4eB5/CTmGRmO09lS1xsqPvNnNMieve
VV/LCn+1HR2wtdGlEv5T1tI6VaZEcvkz7roHs5Y3Y9086BEl19ZdiTClIZLIm7LwlwIbYU1UJ4Cc
YG70BHR3eDnDQ6KLK7wkB71uH7DMeeVrOKRbw9BeB09bu4p9Aw8mmhml/tKk2jrvaT0G3HbXpYsV
BDGlpmVRjogr8CzMp+skIiRaVHbz4Fva6/t/11pXVVYdUN8uqhZChY6cr47lrjfcjUlbsJkSXMJ2
4/asaZr4ZujpFp/FLg7S69HX7zxT3HoRbAi/fFTG7Bq3y5So4z/6XfS99PPxqiaSSXc95b5Oq2vR
2K/StKjmO+Vzhh3xLmol3q30Dmtcds8ZlDHlYri6MELOvCh0CS2V4pOJKtM+WUzcBGqpXg6oo8GQ
ZV457GrIpXNLUodMSnMVJPKVaEoLSUaJnEXlsUdVTxPUNbrNhWuZXucnC6ih2wLchITlIU+PKFRZ
2rbLk2wDDgR5+i5SlGAyqiVLB71cY2ntDuH9FPnavfR2/UvL1IeqRFnj+45YZm1ON9FRvG1X9xde
YtrnU4fBCU21LF1zoGKeru2lN7SK31jpxsMyQL0rd5DK0nhBXO7t3b787iYjdEJbjzeVDWfLJwez
aVT3wkttgiOf3iL4trzPHMfk/6dnxXqInM4dGvCyziNEgGSN/y9Rlu/cEEwdsz7sh31KlGljZNty
ommQcVkvRSuRFccE26rWLzPZx9gJKMv3d/D+xuuMwESvxViii2iuS5SzblkvRku5M9qY7xLUOsQ5
2FoiG1duY82wbMT//cOJwfnIAMlgUtvQ9ZOzQRXVeRzhqYLQ2tzUuqT1Xr7AoJq1cXksuvQYN+SU
FcYILCZ7+Xrkfd5Bi+ltqtkgoW1pmif7zKjNcTdpIXYUh3YTfqVFPwxHqnWrwCquOj25HxXEQ19/
6Jkxxa4d3LVtszEyVOvkG+dVljVe28QbQnyuBrSEeVS9jFYD9CO8NSd6fIpHrn9JQvuAivr1649/
3wJ+nG1CNfjauiY0yzJPN2ZeQNyKiIt4M5q1oLfYMjosHekdgUejuA1j69BiDqC9bdKTVkBbdFQn
ilbMetV5Lhvj2Ex/7ATR7VDh5c97h4pJ9jIM90ZzDcZvF2ZY9O3y0tP6vExw4Rw62LSbJpc/LWl/
7H8Kk7q11SRcOKZ738ANPDqvISZ8EJQXTgfnBoZB0c/iNrETMk8+ykcq7Dq1jDZRBNfAxuHh2evE
bK5tdN5YxjhR1vL56wfzecPM14OYbgA5nxab022XyAFrKk6EEogfL/OXbNCOIBkWak5OwXTLI5cc
Tt2+MB4/byuFypHcUKfNOh98MgnMiiJG7drRRmma3RC3GyGi2wAq/9dfTzt3T02VcpfhQBbUT8u4
bLv6IOBnb7zUPFgtZ/iMiUbBjVdlRgygcRUJfRWqJrG7IVgsVtnSwGnVDNsAUSCQKhMO3Gg/K+6l
kXVmu8Q90Mi94V2oWpwIPw6tXtH7NAyx/Zb4gAj8fTDMnjXAvaqDet+030m1RuQTwojSLg01c3rT
ns7HaemzTSBhvGlOPpsXSC2hHEUbaQKXEBj9qIDAWiD7inU967Y1TLcZBk1wDZBIUoMUSPD2uOq8
Wx8T/KybsnqAD16/A28dDSOgw6Q2NLzHfRJBrOFNQHAj056CmaaXC5xxiELyJl25VXofC0zk/USQ
eYeO1bnAQI+bBJ9YPDnaju8sA6VwlmYHvOj9rwPEk7CTgD5NKbfFhIPruh91Ze7KFiTDmBFnHPve
yneMgoxgLMBK8JO6Hsq3HrifkrUbQFxyrmvFC4DnVT4dAy4MuGmSfrqxjpxKM5ojxemAG0MYrr5g
oRs65YcbopfzzaU17JISNVoBEMU1iaBMIZFgmnrFnbM08uru64s4O7mIHKB9IXX4/ycLSSIKNg9e
Ro5Fjdgs42urkXZ07PrCoe1MvZERLC3OvSzqFrW+jyMYtxtpMEUabzqDphPaRIfQ8gmTWhXtji3U
EeYBenCeTW2YB7/Rr0q3veqc8dKFfN6pTBV6jTaRQ/GTu//xQsZQxUYMmnWjVXAvGn5Z9OW68l6i
ZPhmTlZOsoV+loV5MxnhE+fnf/+GcxcEL3ThqOppRY5pYLWRz2pGlNTrdL9L9GVJ6V5YrPXPh2SK
YKyM9Bko3+uns7avopSYO1YMK6LFIOH8z4jFRJ1lH6JBg/LAmhUa9SZoLTnrakY5QHIC7YaVXkIR
jzA8cHLYjJIt79S+C4R8TmDm6O6UmI48sNIQOF1ehs+tNqQzCE74NHE+lWUcq3RA+LURys5mp3T1
TsnzF27lPNX1q0G9uOqfvU+6AesO7IXzqXMTc5Nsi+oXWd23CrmZJIrnLw1lU5CQDsqaOPjZxD8F
4JeO3MuuY0dqFbsgRQDz9cCwpxlwuhzwoGjyCs0gnOTkPScbHcCTV0QbTMa4dAD9O4AfIFAWUCsD
tF+YpLK6uvPZTbAlOEinWqvOd9sRxwRtTfbWe1hXgqTdVGyXQl6QoKZ9ohz4pZUayvbevDalez3U
+tHpKWbkDAbVyF9EHT1Jo35I8uxF9kTVAaqfVSgnRfm9dMxl4Smoa9kvUaqmBCmPo1bcG9CachlM
4OG3IKPZ7juJscx06wqP8X1rgIDJ7XLvNyTlueqKDv/CJTXTy6znNOCYy7BXUZz2KlhL/cpnOMwi
M4C18+P9n20rWb7fZbKSIOtkP0P10ltVnH32NhVW1j+8fadb+9KtppJCwputKHcESB6cqN11NDkX
04Qouw59kD9sTI2Auj78aXGnQ6kdwzIlTrH8RfTbdlTFUQnYZdYdC3ZRFg+wOO5GUXZsSyU5pv6v
8KcmQY40PqIEa7jD4bXJYJFFE2fKji2U0Yr12jK4nNys5q2B7nFaiw2bP1Ih4IOXynHrtDgJMu++
ruhn2cqF18C5DYamCo6RGLzldIz7uCrGNslVRB9xxK21mdan917v7tRwqXnFY1YOL2qOVseNDzIb
Lpxx9DOvII3FcNo006w1Tvf7usasFti3N6OrvYJr+wbs/8nW/GUh04cw/9FoxsbYDG/WZCwzEe74
39TMvspc44XQ0Ie0AKjn5HT98qlSta56BBS6S9izjzZLlfWDX8bbr+fqudWVmpZmsd9nP/bp2N1C
W+1LL8s2XYiizU63RUN9J+keyigleSzaqZ29MnwcWqg0h5SLQ0cy69TmIa5RR9g+1hn/NrbHX2Ev
viWO+jrCggudRy0ZXqJKvXCmOvt4NY22JL0YznSnb1+hyDAonSrbYKe7KayuRDT05NX5XlWDg8dm
K4375RB668ExL+YKndlY89lT5VnXTMla/XFsseR1dSUKxhbhKXOd0az14opZszazhamEDzjrd/6o
vuax+kqdegWxbZ127o2pNw9Y82dR7SBjBj5tqOn110/y3GGXi+M4Y7AH4+R2suombikAzvMkxzr7
Bm5sNYzmt9BkufR8e8b59EolAo5oYvPG8uRO9N7ThSs4c67iyajScCwOWM7pNjC3RVAnKdWlYmgf
pufTWXLjVUDM629Ctg+qGj1liXXVR85NgJ8MnUcWGt/CanytSQxXUvEtBbJPLPgOT/GF2XnmdawZ
qGqkIXgnferOt/At05E6NErohnN19maaxTGuGECBVxychsi6r2/HucFiELOlm5qOpOR0IWJkuJle
jWS3CWx9Hmp4eCYzyKuL3PIfQn/gX/YXpvP0jE/evPTrVdMw6EALXU4r1B8H93zs+lIlym5yLD+P
6Bh7vOF2fe1l6aXCt33uaf/5WSfjTSqkRQsxFcokfKwp9TEPNUhdnHC04KXoMwBsDrJGYax9tbgZ
88zGhOPsnUEyaa0FlvXjRPRNhL3y6OeV+bBVM/EMqD6hk086CbileFznWhOA4VG3lZIfscT6IPSN
mmItFIm9vc+b8vhOPkaimdB+hM2Xv4lU2wwG+0KzBbsSEgboa9sitZdp1t4Owaun20tZpSjp7J2D
B5uSi95nmzob1moh93nZ3sgE6IsyrMuxulG64hgB8GkUrKYYQOP2mpDardHgUiua32FYH9uKq/RS
8hwhmCTu+GDGdEp0SaRRhkl7HtggbOKe1MGfztYnYJt4ZAnzxVW/EWXzPaqsTQmyTBmMYQ5IW/aL
ViUkx4BIsyrwo70TLiVfZSVQSeLGI+wQTZAdesUq6VFKq8lLjjSLymJFDla9H70hhoWa8h6xCpJ8
MkYgeIG1MMj+dKQX7JjBOEFptaxDr0O4WXew6QBFdUNIQEQT3TcJm0RDCsAgsRrzIybqPrJEWAnm
jd/b/hqyEJJxKtgzQhi+uQU661Aa65RYIEfJD2D08Ogw6kcnPYA6Xxg5+zFb7bdVyqvQhBoX4Rdu
yQ6S0ZvEHmQH1dFxnb3plG9tkB28Mj0oVY2WwkXzJLC0Z78qR3vWY3yLxDU+hf0WluHMtsDd0jh4
toEjuTkmbyDF0t/4Jj8rcq9VQq1IOd4avrmqle00JHqrOBAHvXesARMpFzmtA0DS1+hb10YE99D1
r7qg+ZbZXr9Im2H99fpwdv5otq2xOBjIVk4OrFZRFfVgsSDplbsoLVZkv7sbchIvUAkJMuibUe75
ihfWwXObFOofnF4RU6BVOvlY0x9gqHgDLjLaP5oqb9IooZ6fXliJzr6OTHaYdDgpOQO++bgUCcRB
wOtluukGuWm6Bk8UJPgEty7VlAw5HdBN/yBL/TogFqfQLu8Uzq34vFRti3tMFfb04CjzpEjyzqSj
gIcjLlCcNujfO8W64l/fIBTg0OfMXG+8Z/Ff+gGKV5CIV2oJINmh+NgQyFPX5V2kE6nlWHs30elg
mcCSXYJoOsiZs0RLmYKVu/Hi9DXz6vvG93ZwxfdyaIEpkDbVmiUOhZRqvkdQCIGa26RrFkNmHY0G
DFzEctkMU48wVuZ6Ca3UHyankzq8GOm4SUcCd3x7rkn7JvFVhPyvekWY99hiwCfXiyDm4L7ID6WT
oWEXmAbUenyZnmYGGQz/Vx8tnNB64igVJRbQhgF8Vngo4S1B7mUn8sNVOoQLU8fOZ90w4OgtNC+g
UNOG1w6bVLIKQnAKVKGqxK4Xeth6VBnAOGoghGM3WBP5QQoBAvU6zt8wUgEmJd476Fuw/AgjOk8Q
aVCLY953xWpA82/ntQfeQeLQ1uBQ0Hu0W2tXqZgo49KbNT0e2zZ8GqO8JXl6Eonj+QxcPmDCCn49
B8+9Ly2DI7pE78ZQneboH+/LQK3MJI3aFPohPSb9MbHi/dCp60gjrub/66NOj2htDm84A/m48W1I
iil84ZQaO5jEeVcrF77W2V2yxbkKXQpyNI5zH7+XWuh5VoiS7xVtKp80PS9d+n22mvbtoTZ81zzi
xXCygxu+8DXP7Xqo0lCSYqvFOexki2yVyArSmOWF9OweAnqSYHmp6xvbl3st5/ny+69v7PlPNKnk
T8Gmn6oNwKlRt8Ax3JRhiQGsPEKVedHc4TmLy7eadwhUp+XXH/m+dJzusyZ9LLVO1Mr2qfhnrHKo
/iQobMI+JqqYkMMWjSNmS0nQqFrOxtp6qGAzkQXXxQ+OcywiKI7lwB6hJFTZxPMe5fVB4UVVYXbF
Z5rU7EiDcS0HpA2mkkGdIHnETsx9hOiNQpeLKW7cWrltzcdyXHtuTnq6w3zrcKWRNUBte9/C0V0w
V/ZBAF+K5m0119yHknTytoYJl0hjkyX6Yy+Lu1RJh5lLJRZB88KvfWjCUokWOvkJ1GY7XMeT+7yo
gCYhACQkLJtz+kzncPy/hw7UCRM43td39eyoZcwatIJoTaNB/Thqu94lK82XyaYr8rd4eJLQRiJ3
3IKvu9HFsm4WIX7H8VIh89wAggdEIZOCrvh0MqhaZfBz3Uo2EKrfwpHHJ8fqZYjrl2TSYPRlfoD7
c/z6y557+9N5QvGuTr+8767/WHlUWUYIkiEfRrxCMnA1c4lOa3r1l5m5Cx3tNs6K47Q/+fpzz614
f3zu6fk5HEXcZqaaYGzu107MGAud6qbTtecya2++/ix5pkJNCrGFSIxjKavCSam87hwCPQhl2hhp
eN/3bbcIkK17VGP1Mq6Jccl/m4S50X0a14Pq42V3YGZQN9R40K5b2TOz2hjea5xBP7Ks/jb0jAOs
yj4hAl0zYkR+ivbqWXixKgEszzW/h2gkl7qOLK8ndq+CMeiHgHPM8bFuQJqM0QNrI+xeyFMrP92y
p8UWjdukwq1Nctvzu7nEcogpl3DDZ/ImynAjFQrnDQ389YyTFwXjjL2+kh6J2aiwhFB3drW115pk
3NUVaXoEQyKlWqZm970dRUcIHMcerTbXyL1uXMuD5NwBvyTThFdwDWMimns6DOHI6A8i9nfTvrko
jWeHHXFfMTaIVFh6fv8svJEYrPoYZs0NcQ+ktkfKvo/MZQd+NlD838pYDkvTr3dkzNY3ZumTFoX5
lYTeC6+Yc5NGTgHUNB6YraeizjjOK3SXOXX1nNNVZjy34ChqVTybubmn4ftcE1F2YaXXzw1eiSYD
N4RNq/h0PHG+9MgtZIGwYvtGB3iP7NbVF1o1LyDhBlM6lDa14KpAbiw3JNIwcW/6IAw3Xpg8lA1t
zVyn7ZuQ2qGHv1M3/4bennCrdpzQEtEeFi+8hAagOtisZdxiAdZMaBBfz4szTgGBxwKdh85yQ63y
ZF54yhCjqYxhHrnJCv0UDneVindfajci4VuRv5XPAkx9CnHs4D18wvakRJg9ZFTIPYyIiqzXbcMq
XKcPpOqh38LqtCa1ACcu/HYiPeKn1li5lgE8Pod4WSsEUMTqFA2tkvsatP7m6y/1OfEb9COiAW3a
TDmUf6YR88eKJq3BSWrdiDe9Hi4Liuqg1JxjnRFlUer9SpNuvsgS0OGJrh19+Aqc4VPsvR7ZIHUa
rYOIYwDUSsd3LqxD54QYiLZpHU27BPtTYdbrzTF3Wxbb3PGvmiB+UeLi4GcYo02BEbkm46SE412Z
/RH4463f19cmra9Z63LyrCv7qVslfvpWRzwoKPXI3JK3gbQCu+NHNKmzJ7QGtY9Qfl+4p+qZFRRt
BFIBBG40dk67mmroehZlowR9dkmQUoTfrxlYNlx1R/IzGhHubj9mwbbzd7IDPZCF0XgtVdgNnf+q
DoV+SwON7nYMMchwp3zOpkD1pg0v3sh0GeKf5EOmyy6tb6Gjwj0hWVHm1DhSi9liBq2yCOGqktvJ
ZBugjptOcM9iBaAyzexNHElB2m7KWcoxdplOQo7hUxeeOl9wU/wdADUgfTEFiraduKbuGz7F++eq
MHy0hlJZqkWO8lQx7h0zeE6RIc2MRmizLmev5CjOVSR/2R1LsBU2r56pLlyT3UzabhCyLQrrB8TS
N8/1dr0H+8kLzYVnZIfpfdLaj8Rg/pg2hXVsPFdledSa5lWn10ff/LkNdI3uPz/YUOujz56/69qt
zGsa5P4ean278ILu97WrGjeSt4EnwmhNtRBLelkQmSLtA3HIHB8hArLEtjC/8nozxhN3dFB/pNnw
68JYODcUEKQZKqIVDrWnXbWBZkJc1Uay6cMsBgtpzMD73ide1a85z3F/AnlohUKI57R+4bOJEu2C
suTMpgWDoIPO3Jze6KcFXuKuiyKZNmgy4/F1cf5k2SCGW1lwb5CTbuRQLEd8pLMA1vKlWXxm9adU
Qk+HMi47xNPqe0qPvemSIN1EDSGSeRpuRAbDzAZ0vzAK7FUZZqQrx3wwmQOrxPWBh1YbN8/IffZr
Z62n4Y3bFPrWGKYIwFYCISSXSzW3bdO719AyFwQmHQOH4FD2Fmt2NewJy/Lfb7H/+av/X95bdvfv
Y0L1r//k97+ynOBVz69PfvuvY5bwv/+c/pv/+3c+/hf/uia5Lauy3/WXf2v9lt28JG/V6V/68JP5
9L+vbvFSv3z4zTJFVzMcmrdyuH+rmrh+vwq+x/Q3/1//8D/e3n/Kccjf/vnXyyuPABoxtudf9V9/
/9H2FRsnrwXjjzE/fcLffzx9hX/+dUUgWxW8pBS0/v0D//iv3l6q+p9/KY7zj2k/KWlxo8rHo8oR
oXt7/yMp/kFzDWsQY0TV+BMKX2lW1v4//zKMfyADxM6G3lvn7SSpFFVZM/2Rzg9kJDGnqNEjzWIL
+3/uwIcn+V9P9qN9dzqi/HEwpAFDkAEFBepOmkB1eHLwDrABNVmglSC+W9ZEn5hJpxyOhC0T/YH4
511wn1L/JUGtn5s9bRqdCOx5AXsLGuY1APbVYBOWLK3oytHMYZ0WZJc1JjLp5BEB5UKmnbbIBGk0
cgovqWuHKLW8YEb0/jbR8JuIel00WbOz9PJ7jIV+VZWQvoJcKRZNCUmrfHZuK58pa5fVVGKpCcb8
FlskWqShwcIPlykkw53Xd9NhdrKvRglyvMcM7uTkaL/HcDiNuqYcI0nF5iKK5KWIRYMtozyWnBn/
nQqDlBkkigBmwHtt2h4T9A6zGclsg6GsVbcN+KTYh2NnM6Eh4kLiosY089P45T3djI7Ari+GZIWD
JpsPfdHvNYfeAUQZ0idvy6HagAtW5700lCXY101okYTifPe1Ml9IbPpzEQLbcTLdACSDyz0JwPF0
GrR0D5e5FMDdEswMwIF1PJmKM0K1dZeOZ1ecisSPITKNS7ukzwNECLZ9VA0m+TW9+o+7pHAgehUd
db7NDXlUa0JR33+J6U7NTavCnjgQ1zbGza3acFECjsQY0Ah4v5l/zK6/R++fo/VkNWessnk3VIzO
iHcokZ5s2HRFU3svivJtp/AyCfL0u4FlqNxkSnPn6cmjItO3QMSX7sA0BT5OEYEYRkOi5Zg4rU/f
YyMSKdJErJh+TnClYpGcMbBdujeI35Z1rZfrQeHIFhIWisUdpphSsVFxEdDwNawtTfKnr+/DqeF1
uhGIMmyO/0xYpEwnXTN0VFWXpFUMp4IbEaYgwitZAyLp6nWfkeKiTC95i5RqggCjfZeShKPE0Y4s
EopcbDznXiff2j6XWF9HbS2zeP3+oyw3WvaGrs8rN3z4+qKNkzr++0Wjr6HMhEGJ/NCTp+cxAwgT
D7loCaY5qIZNHTrDsp5SSsrQIpbLNoOF0RXfkd4CqveYh4GLzYA6SLYs9Veg3OnakDVJwZSbLHz3
PkC52DWW9JrY4/oLV49IRi3Cn3WG2zGm8rxr3el4ogw/ZVPdFOZ0I/TgtVf6esXGjP20r9/rlIfI
ppMXKibvA+Nk4CDdnIoX7IGm/fDHqdNHHuE/EXD5tO5AtMWA2IogWXvdo++M+hWiqKVMofmjiA0B
NEFaVBTKZvEIBjqfMnKJN5iVLQAI2wLEo07ei8bAoKsDxevlsS3gxYcuyfARJP+cRUDmDXSu2H2R
NCFnZgPBzIw0dZWazUuR9eOmVChxZ2q6LFx7HngCG4B7ab6ctDF40JOffLLjs6m0P5neYkDmQ9IY
4bZGIJrJpuOWj7elG/9UGhcG0u+U4I9UB2veV0M15TCXy3JpV964khU43d7a1xUQyUQzxYUtmXHu
2rg+yr14JWg4nxxk2QmTkF1a4bYg66yM7N0YZ98yh11yUVnHXLERqCog1zxefXqr4nsGVpZ6FvLi
uGnnXUuc2jTNG/1HZfs/xTiAQvSsA8OSXK62cKg+muFcG8vfOK+cWaofRznszHSPe+Ou8LDkkrms
kvkLE5ID9R1+IRCroD9yLU92QRj8CIRrXZJafF7CTJVCJSoUy8L7fuoRibyQbDErD7ej5SL8iMM7
UY1yrlqQceyRUJCCyKC0Xne1sZcuvxnZJs60wr8PE5Fs0gAq2dfLwftB8I/JIXAuqQArNJWtjIkA
6mTjIQKl01pO1VvflcxVdbxVfUtAfE23aWyLLRtg9OCtutdhcBDBVt6A11CA7WqXrmSahqdXguSB
4eDY+H1PdSiktlhKqTBN68Cdm+K18vEGJrHXrIKQqLcpUDEaaJONOm2JXF1kmZ9varKdd0MXwzqt
7cfYoTDtN6O1wjmwzDhBfn23PlmSp7tlIgORFm8+VpPpLf1HraIhPLG0sp6lpDJvZK0RLkLxW8js
SSHb8Adc49FTQcfi+dzk/k+7pR5jdrp6Y/5vws5rOW5gy7JfhAj4BF7LoSy9kfSCoEQJ3mfC5NfP
AtUxfUcT0f1SQVMslgGQJ8/Ze6+suqOg/CxyHP1B+1l4Yf48W8Sq9RNR40H1YBslCcEZOpYmdGt8
VSTt57bxqmB0bJvFHm7lTLUX9PnOEO3/+u7/syysx4GFJt1lZcDsY/57Ro6LVWSdJ7OT6YL46oh5
TPF3X7IgIJJ0IJzNWZOjafNvpNVRVpQq38dkp5+9oQEJJqYzIypR5Mb/cs54/1Qb6xPDecYbjmOa
WvzfkdRIl7bRsaBTQTdKSMQRQw4reTGWF88km3rOiwmGrn7CrE1g26pEhLJqH1zYXbaqKEITFjZB
fvMwx8bJC7Nd0zri5NqLxb57OGiychFolffmWHUHZoorojIgP9Xwj1mZqRdnNum36tz4aEjU9Jxx
gFwrP2dge3tXW2qLyx+DK/yYBj6sgmTJvHKNkW0I2O1oHGzDZuqvaSA/Y9i2l0Kpu9ourPt65HPE
VtB5rfwIdH6b7TNvNRrXtDyGMHNVmISRUegcYIkPnTADuBPzRB7/58P6y773z6nncTCTFcAOCYfD
P5djytV4QlJpHF3KjyPoBlZv5m1a88JL5fkPTjU+xuE6zo7H+tCR7X/QVdcefGuNY0tsdvHo1sNi
9k64S+Ao41hdAjiaY9Oe+qb+DZQBPKObvMdlOBw5n4NtEvbeDrehuwHWnp0C6dK7h8px6Mz2vh17
93sbv5AUOrBzgm9Wlodeh9/yZMXE92SoOnUcn5bRac56WOOtSVMvDZLpoNRzfZgvE8kwrZr+TAPz
Z2/CGJpQzu18nGabCWWLzbn8kQ7LPc2XhaxB9gsODkKIQclRAi5Y++IkQsZ9enQ6koUD5vatT7YP
oOwfXmLYjzRr7nnGEqF0A/i5yc8u+C9ErOH/0vi1/lkvOQnWzigRMWxQA9wD/3xAZlhDrCl5l4xM
KvJuhvsirs1jO9O+X6wlgkqwbyaCd7oAWqE51y9+ybgfu9Jjivt4Xwr7VhjgwBwIgJt6oB/3Px9C
/18Xd32GrOOrQG6dTP27KcgMm4PIGLK/tXA3Yf+Nk2TfmKztdOY38JGZcqDemyA3H8qe+ifpmh/L
CjsUizOQZ5ocXS0IS9RswP6XZ0e/4J+1ZQ3WIechwMGDyvGf928JYIq66HtPQW+7UZaZxPiq6UeZ
k3ob222yRWWwIG2QWDQrIn+9/FhpIrn/LnopcdL/8xNicPFPLbB+pMx88DViAXd4av9UpWVPANrY
2fERGoxN5PcAjQZF7c4KTvVYG9/41UGmWX1NsiyNqvZ3WNotHgUCr/EeNI6D/DpYS9WUuacO0ovb
/KacUZeYtKBdFvslaCqH5Bzii6e0Cw5fkNly5KwYLeLHR4J3VEyWYSr3YzEnD73I2FJxVp/4KG/5
PHw2bZPf8FS1xwFsSmw3nOfJGJ8F7+QhTRJSW8PRifwecGueptfZQyxTQAsm/Z0qGFvG2cnFg6LC
OKchz3MEDjq4wS+TZDKIOG7fnl1nDgmgSC6q5KHysBkOKFBAHpjJU+jr4NSkLP4VahAkzVVGCmw8
bR0g0VE6Dn/4uJnh5Ews7CX4dJgr7cuy50UBlJABiroawMwRZ93WrgLv0iTgT0Tq5i928J03O705
9fQUm258EFOqdwloSfKhFX5y5pNXv5XePgZS+xaL8oBRxj2FKzUw8hObUJG2v7Cg/jDEpB8dIhVd
QUvC00sJySn1zuXauUiWPIusBuyiZcwXyJuYEDJ4lWybanrc7veqdj1qvWxXkBjbFoZ/03MwXzAH
wfVi9T2GilTRRhGDHqZxGjWgXr9pO8KJFzGlW06ysv+Qi2I/qTL/EHrF0wviHIPBhWeHu0jR3Yr8
CSjONy6Cd5VlECiee6dhkvFdqcmDljXxvvk88UkGYJ3C3D46cdXu+hQGZSvCaT9L2A+uNtKH1q7g
v7j1MbZBybK7sSPAwguLqDJO2iVf3DFI104bQayT6YO/re+GaSb/nYkSY5qZeE/P/x5ITbBnUjfn
JQvVzp+CX6lbtodaTMWVop+haVf2myqf+xe2zdXBV4XgLxfGtwYc93jEfpfWjTz5/fQ5CciPCSzr
beC1oB/qBRhI097TvLi5HsjpTAwQVAr6z8v06uoOQ896Tvta7cbOkgxmiTkfbeHRjPcvbjjQFpoG
n+muiGy3v5l5md4KPyw2dk6qOhFnO8uSDF89CFpuW83A8dxH2xmJf64ZphRqXjOwFTOQOSN3DaUh
s+fuQav1X0ANEkymH8GPXdKRbSMm7r9Fd1/H6CCV3nUWUf/o8GBOk5LAFsc+NeXqH+mtPRhdOm+9
R40oFIwz4cyRiIvgQM/lPbYQqw5DXGwJKcgeylISoDWwfDkBAQ9dhoTLiDeqKK0DFLDxFlqL9eZA
KN6k9qttJPObPdi0AocKXCoF085IU6ADY2IfGn+IijiJr8qgC97CTSqdjn3t/DzWi09MwrXNKwLS
DU9HsL3uQ8NPbmb1azQnf6Pd2NvNRZjcxPqksyG8hxAJ76OB4DAIixKMXTIcN3KgQeV1pJqTDdnO
EfOe5M5efvmVtVu6zroVo4Zhk5OX3rvwHYy8XgXqDQmlykqiTI8vbkV+cpPn13F2yMwwWMpDMz3K
IdiWNaag0ZpvsDPl3q5T89EgvMJaXziRaFNkjUG/d3M1vwWtLPZxrl8LCyeeqA3Sw+v+PrB5ciAW
4/dUasL/zZAc9dC66QAMaUr8vrIzLwLl5ry1Ioem3KTjZXTY5bIaZikJr5xWh3bw6qvvgEITWeG+
o15H10zUx2Wxkds2xmB+72KXhPvCf2CO7xJyAR14COhPWO5wxHMOXtGy4Z3Mwa9mckbyt901SAuL
OE2fpz6xwmffcGl1LLl9sbz8R1vKJKJSk5SScCyzPYUGW/9Of3N7Lj2dGnewSWlNxL+rka4Bu8ZP
u4EN33mOOjmDMd5nmkTmsmJchOyYo28mhRzqMrPN5KjC2dpBQsWpVB89kb5USMrvzaYhbThz4MVI
p42K6Sbiez7K8mRN/U8Rzh4NSqs9lYrr0GiMzh1tkm8WhUzlyeE8IUG7VTXR+1glNLNXj0BYxleO
sSPMbOZaPzAkJv30XE7oxjIVOf30UTfum5wwShQ5vPSxFx2zORxrgOVbOuN3X486DxAnTWY2exh1
/d4MnJWp8sOde65ViD+3aWlG0PeAc9Rme9MD4x+ngiLiEPON6Ofc2iEwGg5oc0R5GFhTDZXxonPm
hh0WDqLjnLO20HdINUKe8PNDmeC0rcIe4JhFdLBu/CfGQNZ9SjtckBy7ZUpRnieN845YOvNkhQ0R
4cQ/bAxzIva/XNWkYbwtV7Fh1m6VR9M1Rg6+VXW33KamJ2O2pYZ2xm+l+pAVzRt2LDDzguJuTokE
zXs+4KwiQa7yADP2wGu4XqCjKfOMqjK/b3rvWvt+fiViDoNDNtmH2HF5mAKdRMUi2FWN85z+oYy0
Lka47EOz60+50TAIroLrgAvccsQRq0sMJpqw8tT+pplL4m4zm22Rnk0hyaupKAEdUm22bUgQEH5K
eQxrVBTBSwgKjKxIea6MwUJfynKLhdQjs4lkXbagYo8g0t46lYIm6tdbP+uNfZwyk4Xx6+BoBbkw
FcI6hDp4JcHnU6i0voUuA+WKJpfKW2jOBF+vAcQXPaFhN8Z8bxYpeam557OPUdvGT+b70q3DKIS6
UI1/BvD0D4U28GH3IFcqZihLkXa7EuVBK8bi3A+evalmnW8FAnG3DJtIMMMBPKDIba8wPlnm1J7C
vCfCcvoxGe9z5c+ASkhsUqgXgth7LtaBB9fxE2dBsMlCKkOvj1/badtbOwMw3XFwuK+duFhQyV0J
sudM0WbklEMfzyW5WZJqHesAzZvayC/kh5k155mVeF4A860mMXZ+tJ1Wc2WJpjaA/jA7DEgG/y0h
iXnfDYTqWzp+FF14Lipck740jG08g0VZ5uSgZHvnCNQjPbXTobfcbe56xBXZOzvzp6uqjU2SEZG7
jFrRhiEKfR/X6mebkLq6jvOXwfmeCIQCc1weA7d4QdNobkxDfVMT5seRZeA0lSi8R9mtFJwaSvXi
D1u89tbOLi692Wa7SouoyDR56RpYTL+g9ZsLFe+ZCnhHvGoZ8uC9OWssn+a4a9+nsSX0mu7GDjs7
rezEfpn0N1vJlZSrsjXnatzAoHW2CM7kfuqWz3ZyEO6X/qfltm/5BF3QmxE5w+08GAHlBHrwwwJh
gCTI71nq4LMYpn3ZD1GekXtOh7VFRIHu0Z6vZjgTAj4Z31zorJm/fLC3RxVJwDak06NbzqegthFv
FwX489oGM+sMrykbOMoKUOSU7eOI9TRJ25+kO13whA4ocdBIwMa9jTUtu9yPcgd0wdCl1b4n2qwO
wfs1DO50Aq5hNu6LGsp7K7YGSC8hqgy2bsfbrgpviyDuYYKBItF5bnNZgpjVGL9yOv/o09N7J4lm
sYkXEBMzGyeVimu5NoPC1v7IVHvrFgPgbdFce6P8ZdfLJUyu5CLXnI1iPejJ/qVyu5NJL1muia4k
9rEIyidfVM+t3x/9sX2V9Bs2sKPzXReySXfru75oyTWpzGOYcOEjebkDjsnpMnX5r0JCqkfsobV6
TQkTxxVCTr8TIyRIjPDkF4m1+zE0Vf1YBeEx5VKw8wvi/PO1G2iO9hj1bfrc9ktKoLXX3xgBckp0
M8nuuv9BccSSPXrAlNLw1c8g8nlWjX+nq8/DejMO8KaDmoS6rKopVdZvv37xdZevb//eLLo+Z4Lm
6QaMN19OhD/KwPv4up9fTaxjX3cMGR/+132+vl86E+cN27iv7/7ecfXOHUJsyX+//Y9/tT70VASJ
RsgWx0cLH4BqSJdsu4qP4v99ZFu2tt7/58MSDrOjEU+Qz/oyvp7n11d///LvP/uPR0lC+7nWqPob
e8w02hveD9PLTAp5ZJf//ef/PL//eMh/7vPPG/fvW/P3cdaXCIL4NRxoRi3JDfUi81kJRc4bhvGe
qfBxzFEHTGL+CEt1pFZV0Wwk7hbRlj4bvVDRMtLZ12azMCqVYPIGF1uFNU4PBKFEdl5N36pUHdIi
+xiL+lb2tEGH1jO3lTz0buHsUAu8EV0FLKdQwd6UMK2zLpF7ax7fk7QOb6Ii2tSc4hOA6JqlzfWx
oXdELxftgOB0fDB10VNa4YXt4/Q8BG19bZi9+6K9+kFVPTghvqKg2NcOWzA2IOk+SGNrg2P7z5CG
yVNu/uwn0n7sAh5N3cPfAKE8Q1DR0NSJ/dMfhEg9FsSpJSj/LLOdyTfAjk23b+cEXE3zcr6VXj6d
SovAxX4ChNA7j/2yziFiqHfBTOoZUUFZaR6bkVCvDsTpDleyitDqRKnrv8DHdG4m3Grh5c1+cMcU
s9aDshXQjbSGxzpi22gFA3IHZI5hPCX7nh0bRA833naGEEy7eNOG2GC6qRYq1fKhNJ8zWt27Xotf
wajsrXTCrTMg6fWnk8+hsxH2Z0nNZiNe82U6HSyv7fa5KBNGbvKGcMLZCtvIorlWPQCujLpnjBEM
GnfV3IX3RnDqqulGX+PDtMaoMdUuKQJgkAP7oHTyFmyOr7kTB1f0ScCGeffIp/3eWuED4apkFOdQ
v2RlHMYJHTmlYr+PVZ7Roy0eWycmrjMJxXGOlwe35ILqlsklBTM++uTzgy4/1fHEHMt5t/G3ox2i
EOlE0fBsaac7+XDt2VHfB810SLo7YcbZ1V0cb2Nx1JMsExBKWLnzORmK3ayXnL8NTzYX0AOYdvJh
FvO1sHFBBZo4Nl01KJM7Jjm+q84F2BGL3kNsTUGE4BbbxtKfAkXLI2WSuZAmKurc31SKNXAx1LgJ
TOCRX/WibwBuMMi92pV2E+88nWTH1so+i7muD5XpfMZLnkbzMllHS/rBXeoUYKd5xuhM9M4WWDoX
1T7w0oZbxTShZq4Mhhn4ayZ+DyUCFyOeOJYzBZbG89RRpfm+hL7bhvYuNshNQC92srL5UoccWEGX
5M9i/nTNwTzxR0QNEJoDO7bZ44f6MY7AMXrxM9fPvdblkcwpGvjOcFsAV4yQpXUiWU5t/eG5VJJ1
Nt2XdfwCS+CTKZLbC71NxXIqQAbEKZygrirj4yjgsKZuBv4vCRjoxp6zrfVKbSiabwTscug7GRTF
2o/pGnX3Tm6rtXOEcaUoiOBu9mnPRABhKQtxH3Ll6npC3LAx5fpnYNI6qwEqVogYeruoD2Yp3u0B
1tJc0khiTPcyDMXjOh5Y1ERwuvCzg4PFsRgSICg/TSeN6ZoaD71G15JWCfAkwmUIeK9dEhOIyMyS
8b4vh2Vb2qjKAwKqjl3n/aiV4KLhQlexvAQXaIZmxJ4q4L+t/GYV6UUKa46UA3SC4FBK5me7naLs
j4ox/syzfx7xX+19Yf3hAJy24HmpIXL3zRLTIabOj2LpVntlCFzajk2wg17gL9gcgEhR0rLc1g4N
frbJ5EosFu05m+jb8ic1xiyT7NKU7ln7ONoyGSJgZ/+S2P1TWOcNwJPlrfSc6lBkb6GJ9NquW8xf
cR5luXVrxByN2j7bbkgX1R1P3pKRSmH0W2aKQMa6GJyN4VZR/+ll095vAopQj0ZLndtQXSpH7FU1
vhBFcO90+Z/KCB4DSfKEjF0ArdrdZ09D1XWwWEnMaZbysSoq+Du2uWdY4AjrUyIe3g9SXqukew+X
qtnkCWoAdIcvrTbjKK/yYGdM9MDDWPr7WbeHSeAKFo2mniG2s3dpJlhyDwK7Q/I1NA8o1hJIuXeZ
mb+R4cR0wpk+YmQTuJstEBxqYXStk7e8cH/bHXZfIBctdZF/zmtKigH+8ZMj04MgOBkP3d7rhHMd
OAPS3vg55FwfJvHN6Gs2LL3d3EYp4RJ75E6os9n9IJKi2zp2PHLxW07JYDyYXYY710JAXMS05jTE
8VgwO0vjXkVGHbylyZxdOrP67lPoddJcWVaCEj6mXTbN/ovW0EFjx98MnKGF7lC9GPm2yRqCDMOJ
/WzFnLTJ56OZjzu/lCjzVYx5NzUxOMjxqMrmlinvh6KBewhlwehD4NWNv42WzC4FwfH+zH2Vk251
wyYxg6w1tHlH/U1fOMg4MlMSvGB2ADpCkNceK/tAqH9CUt5iHiY11IdRnGXc1YT3ps2OMr8LWtp5
SMyvU6wniLhNso87+WT79DQ6t3wZ1MHwwaU5XD3ZqmY488b+VCKOvvTpusUbBvssG0lSDPv6QBXz
VrXgBR1/NKPMpeJnqTqbAyr9PEMwbQCNR0okdoY5lkdPJn/gopwQqoiIUoTL8sRkWw89mwhQ4FuT
biJ0L5v5I5aAsGHhNNPlMufVsUnGU1uP4MOrDRdORLD+Ds/usPOK7DWmkUmg0Bxs7Wx+sN3lpa5H
msJONh0ak24el+8JjbjRjcVWJM7ZGFJ4vnjdez9EzI1jflPAYB7Xk9QM43LPf1xiQIrMWzP6bTBs
IF8UeVrxxuIhU5ZBTbPY2d60gOlVHh0QmhU9Yxg0uWq6dsnvOivBowFn2ed2m+3pCT3lqOQjZbXL
TszPunHqT/riZYdVFJlFe9YMaN+TInlXLoiIPB8ojqzuYsyM0ev2FOuVld2XkQdV676UXHV8A2u5
YX96TRIwFymc81KDmugcG7d+lYJ467g0jPa3xMoOwTnRlXtkt0OjDhRANcwzSd3tXRZ6+V0n/FOf
Y12lmof2KEw44Z1zCPKjbMf8vGPjRvZ4ZYpLaOe3hWTl42LCWowj1HPGHmV55Of9yHYmZZH4YbNH
2BD50y68PRa+gMZgJCTDcdc7qt2WrfvWhdPT0gxvXco4u0v9dwX+5GDoe+XGENWIYjdTShKXZHsk
fBczcR6MoecdmAQJV+m9z+kPcsS/I98At6AHFzlY+53D8E54KPTjRezc2bW2XEnMXcd+jGPEmrdy
1ntvQLQmLIIVreTazPKFOQG5lEZY7ej7P2nrQfbVKtlE8dRJ3LnuEu/GnKejWkEgJLHFhnL340xs
ggj1Wop3d7HZpjevmkjtG+l9NvQjmbxbxv0MVLIafHmus1ydad3SlK4zH9RaSzfl7w/VyHi9Rxxk
i4bBUomnojKMliW2dV4TmxmVSqALkG9mM5GZFlajpt4ptwGUHrKZP/opPG4dmuevG5EYM/I7Sqdc
Tn9v/FhjchRgD701AUysNwQWnIU2neOAFXLTKHz+jUOGRS3s81SCZ5OytaC4Dtll8l9lRm7g1ij1
d9S5+8JR4mgV4Xxu5x4FmtNcATT1568bA2/f369YrmDS0RACMc3P4Kx6cwfa0c77s0wFrcz1Kzwm
DFGtKZFRY3knd1i6c0Jb6jx9vcL//t5RldgtCVleCfQNdfFUHm/GlqRnfBnN2ddMAeuM/cPGmSQs
PRkk73ZRxntaQkvexqev/1k76cDv/u+/z+i+DVUckl/tT2da1nm1CWvdH5Q2nl01T+fhO4Pm/pyu
v/+60zyjeJuJNoT7HXOBloMBHLiYMGlANvVb9h+JMFsSEHvG6DVg155AUaR3C5y/1CM2Oqu3dQdr
uc44GGtzlMA7KSs4AsaW3iI3xVCVZ30XrC+qcmNejg7pvLSAkMJYLBHtoOPfX677dz5IBoXzTx04
LTMwr2jOnXRAq8qKV8Kw+3Fe959fNzlLxW6mbbXBb98xuFLducrzHWrfu9yv0KC2YBep4vD/JE2P
s4SbghAKwKVmAJU11xjaF/ucLVTbkxHY3wtPyxMxraCuAu+MS+ej8ztg3DXHr5RYvJZCnr9u6Gfv
LCUolacOLkgZB3Q05H/98uurcv22D1omKatrr1YMPVNjYRFfe2tinN+GsmWU020Sa+3g2CnwdvXa
+ASHmFp+Z437zhXwV03wiR8gohmhPzPtRy5QiI0xmn+Shh/rcXosg0sRm29uSQAofQ26vOabZl+7
QbL6YM/Ou2Vbb94IwlkCdAwr/ynOxsOi55TWuTpRE/9uEurmH4mnvnUV41Cn5KGJFL4XxvSIAvNt
IH8Fuc7r7FOBiPHDHMHcEromd0b3k6DqD8SXIAp8NputOW/RLJ2qoL4YNPm3wUTLnKTm6uLIFVXt
cP66A6O+ipKRq1JzbsRyLVLNpm790X/fDPSjGDqo9FTDuf/6eSm6LjJy9uzr7/65a1auB9/XQ379
2lRS7PvZff/nfmM4oq//+uHX/fTgBfD73BuJg0yF6oqsicUpt4wa/nTedINRRqs9zOBhIldaeQhV
uxivggoAa3coz2Nv7gLjUuVEnvTKQHZamrcZJsCWuSDBJ8F93PsbRBY26ZIOQO2ED6SayCqBtuY6
6yTMAyFchOxhTa5uDr8aAkYbY9YxNpateOaUs8w/aoR/3c7brJ4n7Of9jYDA+OqLM2gAIOwwBJZw
zJ+cqgFkvlDc1E2Rn/05v8wD2EKPNPVtv/buCLpgjtHKnx0yz6hB8tnZ1ZFGgn00MCyz7RfUdF3k
eS6XO0ksPxrlHZYRvfeV9Wzl3Xx0VULRHbMWB9QYC8t15Ph3Th8e57QbiGMvo24w5TmN7VPvpWIH
pYGQmmA+pmxZKBVRXKeIzCM6kez1pfVHiJlz1F12Q8EkKXfyb+1MOnfs6r1gzV+md9MKxrNoCghT
pTzYvv9rKIOb8IdH2ZUPvkw+Xa+Gg5AauyS5tizlr1NhR2YxeKc8cLaTSfG7DJH0gvHEdva16gOb
2TCDOpLOPpsheOtsJzl06yBgaMQdZ8drFqboDawEcJsTHAKZ/syH6RtXe15icyJNlb1Emr7AY3iA
5N4q5v2ajCCgiZxncmoPY9NNzFy0ipB8/TY+2WdN1zzwXyw/mfaIUMUO78QLjhN59ly4KYYkj8BP
xJ+2meJo0Le4HpCt9c6ZOWaF3U4MPfjJQj9jcWI4Z1uRVb07vvtL1LhIPfqCYImyZb9qoSXT2Fnw
fJw4W7VULVklDJHUGLdR1lcPtHqpctmcO+l+MuyjGtS1xo148IyaSwTkddfMHgzH+iGc9GFKxocc
MYBXsqGc3DTcxXHSIxrraF0XxKeZUILXnea+K/zL0vr32mF4VaAksT3FPtmeXxKLIXDdp5/GmmLk
dMaFiAKESeo2V/N3t6BcTZ3pAc/2Y+/Tq5DekzmN72k5fqvT9Ca8+ZjTs/fyNgSgXP0IBPozPYJm
MTgt3Km5wgP44NPHJ+kmj36Z/qLWAppcpyd7Ka5c6Mnu9j/9obkqf/o9W+5vxUieC/THXCJoG7yJ
2Yl60HXVby1JfAL2gKuolp/VEPxpEZq3CAnCvgcRK60HZ/hEA/NztDAyvkg15LR3uFDqrvm1mFjO
5/T3HBQ0z8AxbZM5v0sr53uh11aAzcxiGN+W0J7ZE+WIBYKEUxQPfUeWMwL37xyX2T43BU32xrlb
EvNNBn66y9EJ04cHmbs+DnqRlZoFBXqZQToH/bMV4HoYmCbSOqm2HtGSG7Q6qwwQwJuPL96sbWa3
+AVKmwR14TCk54mT9dfuTHd6yTvZRrWuGfV3hGbK77I0yW9Y3rOgKPaKZbWyKpp9Yxxe+tkmWRLc
tuHhunW6yCIcdYOBeZ7RkFv1FO4ma75zRky3CAzyBZDl2HdXf2awweb6Pk1sVvX7drUNud1rT5PX
T7yrXOhdifWaZeNiTeL0ZKYw35hJ0Vpzf00mMhw773ZLYKU7O1HUvqZ6CYb8aSL7oqPzOoPUzQHT
kctO6xcnD1crDsDcooDlhR2NPjhylq464VM+DY/KMT7iMHjiHYZ5vDK/xocl4dJD4pGx+DuVglRV
8l4V8Rnn/rEhS6giCqSppjcaTJAR/iB+rlXIhEAUT02zPI9Sv7fQGjahVZ7HrLoS5EFCGB/P6KF/
tGhgWXjw2MCVzqNTYFERMvyJm2DYZqNKtyl5XkNmoqjxxm1bZ0ME2wGV64CU5CNBSwcMM/6hJ3Pc
WzyPkrMyNR7AGW4KUyOoYV6pnJ+0JgirxKfkxu0vKckgoK+Tt4PPLuM3KWHmtvdjZlfCiww5vKWZ
/8rUgiaaooOcldNv2XSsmVbwaGZJpLrvBL7PW3ZZd2AVbrmlfwVZ+DYnjEKZFCKI28fS0xQN9ZsB
XQiSS/srSXNagW3MwtN3hzGIrcNAY3+7hGxP3eEbwyR3O+VBe8SqgM1rHNG12SbVw7zy48dPaKkk
rij90Pum3MRphY8Y41gw139M2qJrdDNRYzEnJWqCJe8ObJNf9PDLyLAdqYJUcFvKizXGHEQI+g9l
9Vz1FsaxDlFbk5YKKwMlcDVCkRbZLQv796S2BrIpzfA+oZu6YZb802IocMT9lO2zqqlOBEVuXcIG
9ggTqp2B022nDd7PPLY0alBaoNp2ro2mz2qKpdtB1r0LVxm92cbnJPDugtl3n7vl2RkLlHoN8goL
NZ4Xy5w5hb/nVa5hBrSXlPB/xRQ1l04D3W4mvCIqniKtku7osBEjRgKmcOmQLBC3yNcb0iK3AG8s
xs/Dn8KajmWI7CkrKq6vtt0S08b9NaEZ5KJVsGrlymELMHJ7FkT3AIgsRDZaKO4wRpSb2T5Uiga0
LLJL7S2PHfO8a+hKcfWzzj7gLSFPqvOaq1WFLQRW+xba5c9kFBoSYi1PMzOxKRTdVa03QZPJ/Wzx
8eLd88/26jtZ5vKCnz+IzFbXl8xhg1gUa2cJteS5L1V4WG2YS1lZR/pn9wQGhSgiuQkItDXsald1
XhgVnljO2eCgCaKtn/hE6yyKRdRyVYUcYaA/xlJy93VjLSj3jBClOSSZgME9bNlpdSUi+txYMrzG
gDAPpT/jLMzB146ofm0ALNeZxXDb4hvfuM28bGc1mM/UquOzOEGp1M+BV9QYODz74quG0DLJ9Gus
pv5FWnN1wBVBlZjndhTkHHKJ9IxHp3lNVCMevr7xE2s5WOsMvzEw3LvetGYbIilwbRTdxTDou1Sn
rKs+1UxrOqx0krfHt2uIP2P9e3BlFjl2719LjbPK6rMjSQBwibtBb80U8Y+IscSLGdmcig1o39gi
SjrBW1dM7l5Ptoxsm+2ezLW/mcbepbQ0GK5XkkcbGQzrhin/YtJzgUw0B9FEyOEzj0K4mCS1sWPS
nXfWzh0tAlTrcd76k89jRnGWWVdSDdH52QViRvJX+ZBnfP+kUF6MVJ/0osxjPDonI8RilFJOlDlR
Z2omBaX34Vl2T1IDhioy65CuPktMdAwxtHGbe0/tgpTa3Vco75DHyB2nmcslNT4aM7GL0KYWBKN7
2bEyZQN/7JjJwecti1r//7B3HtuNI1kafiL0wJstAXojyqe4wUkpU/AmYALm6ecDq3qqp3rRZ/az
KJ1KiRaIuHHNb2jE45s60KNAXH+QoC8AD0CiNA9hAqCyNVpyRecQ5ea1kuleo/FHBqW0sJfeXJXa
407o7Rc/ADVq/WGm8huMHn4eB+jadJEvNiNkCofmHI3COcfoTm3nrnmoZ/M0t0W5GZ3mI5PKL88c
TLCkxaqPFnhLlVMQFFwI8DqUrmF2zEvIxySBuIyPRJi5/zSn6TLL8rkqJRoR3hiuqjZyg5gczqg4
NktILYmDBVcTJWu3mKJVLs3vLMSZsKObB8RpvDhpeFz+my1O39QZ/FB44j0GJMZYM26G/OiG+ks9
JdODOyiLfp16MWp3NU7xh5JXT1WrrHAdDQGy4PudTVhwIFFCzxO3ryQhVJuVqQcAoHxlKmfmxr0Z
SDf6zNMWQK2BCXkyVfM5Tb7y0vL2FPs0UO22JUhN+AViUQn5ERKaYlvnrBRUxA2UbGRwsbbKDjRe
W7Baabf0mjUiqMqMzH6HJZNeu2j4IULSj7jvdyW2nQGumCcvbYu1LMzjNPYLZRq9To+UydZQf44y
A7+IsYt3xkhlnRYqdMgi2uhiCA+GnbMr1bx7MjR9l5q/wsyLycFBXKNGQU8zja+9JZV9yEy6izTh
M9OHpxRrxzYd3QDhRABYuSzWBT3CZY2r696gNTx7mThOnbYRJQfGNLr7uK+bvQr5KrVMhj1yfsy1
/BqLwkaytY3IObTkhLOssspG54Hz8FUd6w+2kLqPFbCe7tx4e0fDUaKik6fr1ZvOFGpr990nFh7D
obeSJ1DFC9tkPE2pebb7xKUKJr9oy+GtydBBswdQJ8w8RpvmrB3VvFYnfTtlQjLPNyGbnraidWpV
6ANmTUWlo1GwYoocQqVMD6yvhF5efbWa2R9FD/nHqVENLc19PwOliR7LWprwx62jWyu+BWiZqYT1
noOIMCzpwjCRELpL81ObNWVTZgjStkwk1slYB6HXfd6p8fcrVpSdXGfJQwwxKWyhhc6vtbVDsnhY
1a5zbLm0QdmgY1KZpIi5hm5MRmYFwhz2JwgR+sA0KVwzPbWe9Sj7iYxpoRPfyX7q0FlHmwWOE8bY
rxzLmncWiP5LbT7dH9V0DQhND04rMgWAvUtyEBm3IKDiRa7FDROKaYAIurt1UFXeQsMgK0jdi2a0
VeAJHNTNMj2j07TqhQ1wJHM13wMcd6681uC5yAt0YnOnZqqR8hlNxQu1PjOzGdWOODxmWkayCZum
yj5jjFZ3mk0zuJ21NVr2n6UJiBVIS/wH116TCMoODHDLRc8nZAfUCegqe+7KbYxskok19CIlAAEc
kiYwPcW04CLdjHqA5g1sdF1N2Yo8sOPeQJ6LnI+cZpxPhfmCkBECu0Yt/UiE+xyV4ABc1AHtTW3V
woDtbTCzSf5iCqxQMINg1AbUwazlFTmtFv9knn43awmbet16YY/5II90Mgrae0jNLFEg5xJ+pDJ8
iTosEmNmSMDXqHb7KQ8Qpfk2pPT8AtNtX85MaDII1A3UEHBW/gzESBH6L+LpQmHLrlpNL04fMDhE
cRVQlsBqMwYKMehVkKTylFjGT0cjHiHkd6liMmoV6dFIJ87HzI+BM7IXrAdlMLlJuvUkWCSYXAZu
q7yMOZzyOp0+up5azK6Z+igJN9us1XU8pSRGCiiztg2WK8MwMl1x3xlJjAoqzCA8aHBuHcCFRpHj
/ajFn/fzZBbOHtGo/ZRepW59xRhormqPp9zbd4jnUBDGnyO55FjKH/HMvdMqRYGpWUKHBoSScPsu
evpgagYekvVYHFMv1TAAmTZt342bIqbIxTOUMjUflFc77sbDoJk7oaqXubXbcyP67lwxcy+Yme6d
rBz3Sw5s54O45gZBM5nMjz4azKskjVRHvYHwl68VQ5fXrFsmPHPArK0MhmFMd2Vvf7RRkx/vPxTZ
3+JYiQ64DVjrvEpOSoRPnE9nTgYaRcixnJ33eFCAz1qTfp5GNdmFM0xw4ugTw3a5nXX1qbY6e0Ms
sY5GHx4Bo5APjW1QU+LvhCtuHv4+vmg1HF5Yot2krAebQ3JZVOoi6xD35g/FYZiYdsv1o712sCaY
aYibzyZNUL7lafT2DHs8ZOGoZsfOWQFwUvedu3NE7m1p8iO8BL7PB+cXLLqS+ymD8XSH3Wq9NHxN
Rx2h5+6RGMiVR5owLJWa3ujRGpVkmIuM/tiIEbaCyY9UggTNHNgM5I+PVlZfnDGCUjYHDewe5F1B
mzYJa2lQLhWZDBAHkqbczp7NziqB4fy+yxvZBgBsjWp95YAd4rPVExLXYi0G+62r0R1iRj5vItA9
ZSveGjJjX4zEoHsgor1SIa5geKu65TgOc8Vis3/O5VKN9g61f4JXjWD3O8wlmN2T3OJUiIbbCmTE
vnCY+tNZk2uneChUJEvw6hM7FZUIMkXwIroJoiOZyPc8onHfyndNgXAdkpaZ6MKQ6jMyxlC9y5sD
rBfQtpJD9X6dbPuHMoBNMzU48zqMofsHRr9wXkVkW+oQvc4kggGpK2d9j5BJkeNJkoWbmCUAMEX7
jfbtGLAnA6UyYWP1gCUwEyRpHWlkwqqjo8BeTVQLeiImm/eApWuEmgy4T9fJnqyHoUNcMzN19lXG
GC+p40PjxJ8L+b/DzqcoWU0AaQF7a8ofNlKqK58jrXubWFZwlFBS+XMJqg1D7xTOd2T2L1ogMyJW
NhEfy01TikvmTZyP7j7R4h+w6NugHCCioQpBWsKDqs7ZToVF6Rs2nk9v7bcKgZ1umRuoDSE/vBTz
REy2hzOt68l3kIPxE5CfVgTIBHxAu1ra3r4L1UUrnqjjL0oEQdDRAMwt8Uq2GwkoAsw+8blFiYw+
Nq5VDSkfBBFalXr66bXT+d5Sh0ZioKsOHiMzK1pw6RQopn1ylj4loR3XxEW0TGTFtXb6c0KQweP0
s9N6AY2Yb1OrxXouTWb9864I2ziwaJ+vlOU+/hET++GgaNmw8Yb0M2do5QsDskyuBYkuDQTeAFBY
A3IYi9a6Oz1Qk8QXwRRqVdC3fZcyFrBFqmiDXeX0XsA5VAc8iiuj/53Q0Nkhm65e3Ur9PY7PkVfp
NxoVIJ4ReD4lpp3uLGNu/AiyeoANwlelqvmhEtU+wTnibIxyX0iKP08z9bMkxynyGZx1NYVbz/bY
J4tt6d2hsnBYzjWSByuBmjK6JHmQNC2CgEr5aZUaAh45+3FZIY3Wf2GH9qrr5RlNgctQIQcSNhLt
Ls5dtTH39L4pcnqNsR595mFZPZYqCFJkieoidDZ6mbEKCSpGriAun7PjzMi9zf10cHJ4zraZvS/x
kH0C6sBZ13HyGTvhS5WJR7wYfnRT/CvP7V08lES11OpXdDV8QDNoHtrOsyC9NgY6hEaydPZz0l1z
2URi5I3aisbebEEfy4v6AWdgH6ovy7sm7YB3263mieabSkT2EDkNcmd3P7ARrMYx7whpLl1FkZUH
KQOPPj3Ko964n7Xq7jPTgx2o72MtgZ7V1V9h67JmWVxqb72MLnNys/DhM5deMa0WSyMb8XqcCjl8
XcnSNhmkcPjhsgOZGuFcb7fsXR2Xi03BxxkV92XsCHeNmuLDq3QXxL4JVUs6gYD9xhSwld3qIcSS
yFdL2NItrW4rMi8VOLzV/ZPfnd9Se3oQrvLcI/rGOB76G1lEPXsXfeEGTzMHgeFA3+w8ghw6z+aI
YUrG8r8LUd23S5R6KwgSZwXsNL1F7m8ECaHv09S3asJSCDgewsabvfya/TCuZGMEEEuIDvBrgwLh
j0rz/GkyL4rIuQqm0xDA1PA7WfQol9+rE1ArUldc6iRQISBDDT4BtO2YmE5ncwj74P5ey2NbAhzy
SKsqqtHMWcqd2lF1XzfYSX1yhhG1dOk5dOISl3fXQLRfpx1SKkxLbIJt3bMoXDhNud1w8wrOMFws
P/XCODSZC31s0clKUZDLHTqK4eJBjfhrSu2UTuupWFwHyAaX2r5Q5nNWWV9WTaUSFpzPMS1oJ669
ba6o9prM50164VppKO5Y/as8hzJwp+a6XcgAXV86hWO5DnFdFi2leJGTImAMGTiIHzHcgZCB9Dpq
tBaa0CxZTvFmaVfEANwoBZZjk8VRwUmft1A0lPUsYJ9lsDZKcau4c+s0817RYA20RHlMWgSU8GFg
amr2lIwob4WNqW41kfBF2/bZHPq3bqmy8sY5dtKYYFBwTLsq4/J4uKZwu4N8Tj4HnU3fmPa292Yq
toy0VsDigIDU7CIg/mAsZyAls0fLeFmPw10fqZImn/b7Hrvh0tFo0ECwj9VOduVE3sgtGw3j2RV1
enEm83defCJjNv5gDKpOzgkWHUD8HEwvTOa9kSXTQWhNBvvZ9ALLSWsfWEP2kNJ78PO0pgljO0gX
YTsRaZX7zDjHL4dYD3iJDURh4EGw7zR20N5MsTrzxtesn7A2bzJAOFPLiB9TCp/m4RAA6Vmrgxae
lZmIpTvTi2uAiWLzw9aQjFaEN+9k2141PuMxdQCyTVazNxPU7JvpoaXjNYNbctMQuWqt2dfQcsDh
2FsZwRqca/Q00IzQkiSDauo1m87oOWMjEiDIDRVip+W8GUV3RfYIUsuU5U+aAfKmInxDpMGxwtT7
9NxSwfsGTbxSUfGrplp8mgFw9uBJ/pD0+X91wv+gTqgjHohaw3/9U/3v39QJzz+bKf9Z/vpXccI/
n/SnOKFjoUDoLBbWKr44WP+g7fanOKHj/QOEPkBzC+EgV9NRbfmnNqH3D4ZHiOa6qCPaHODIfv6p
TWg4/1i0rjR0Dh3TUR3V+D9pE/6b9gQEO8TNXHQxPOwO/q4QVKo9IklxNu/quR8CzFCQrjVbnJZU
jlyqy2pkJAVcCPuuBTAmR7pVeea4K1fQA5rsXzD/T3TjwUg66X+Snfi7uKmnYlznuHS1+Zromf1N
RaHLvbhjB047pe0POsCQlSE1FPG64QGTP7AZRUN+i3tNIWmWMVmqbdK3f7mf1z90Uv5VD2+5C/9b
XYKrs4jyIepvm9q/yUt3VqtKYcXjbupEslXlBIi8BuA+1VwU8pYa4kYRGRcwGb8/U4rhtQXDdqW8
qxkfMQ8Hzn7tueLMpZNt+ir8d/LO/JZ3N1OpQ59ODCln7P4nZ2/dsv79o2uI/SzCP5BLucF/FzTq
EZeUk9ORRzo0tvp36eT1GinVXR5GhZ+ODHTcIjly7qlBhPRZoIqVtOePROVbdkp+RcpY+vdrPWcS
WlnarHQb7C7vt8sscnJjKF6lpr6MetwcEjQdfBl+cJEMkGPd0Sl5G3QuHgE6DrtacqqNSExGKgl4
0esQHoWb7BI0I1fzTgMBA88SAjmy19NqwgUMjWBEW936iSmFjhKPlm3s2QzCOB3Wk6N0vhflARgX
UMDoUJbZeYQREKoFETyEu6ZJWg8kXT5MGJR7rXJv9vVzFClXZYxqEHA8Ji8oCvSyXUPwcCFs67us
4cuDwaIPndc3p65gJFgicGQB0Js2XDfDILO84WCjM0BDcbmSy6MbRvN2eq09LKq6uU+2qQLGI4PM
77cmKB8ti461Y6w1RfXIJ2x3beQ/otJJdnHMWZqHJlmSHn17UZXuhwIMZ+9a8VYP+xs9jx+VS8Yn
lgUe6qD98qRUV4pHYuthIjiAs14VGRTC+itXzSwwUjeD+RF5mO4+8HQkAEwGvoJ2cwDwAHlo0HY2
uDj0t96A3ghkFJRd6NFjNyvj5KTITLZzfRVQ5VYKafYKx5ht6UFUDz1Inu0NAokRuw+miaCUaKct
yBR1GXaRJDKUzzoYCG0NattRXJZSyOvSfJxC5E3uu3TBnGEWtoItdUXg+0aS/yJMhlOuM7y3dnoD
XXGpAeUpXnZrSLQNEAx+WNDrWzp6IgYa45DSLmwpUAw7+pDsySY6DtJG+BCCw2ik76OV3e5/KTRu
kxyGzWiZz5Pgnnt94fczbgFtNuvrDAayjCVOeHAKVuXQvppqOwQ0sN+UKAP4EuabRWA6M0u8QrPS
px0xb5yabS3m+NupoxOWOK8oSa5sxWLM3oNDRWqMIU6TbDLXW886iZHTYbWjwAsBu+E3aBCtwHRe
Qo2FSJ29GjQbupVJnpKXKn5U5UgqxcBd0t6+f4MocVA0LicyN8rjyGOlpo3FxpRYiy73fWYIA7R7
ZzbDyUgH2LBF7iuaACTGrasyfEJa9PBrwlKjoEozQOkPaU8osbMv6d4GIfKnJekIiXR9bamq1kjv
BJ4VnqEFcoVdswzMTKz7alkY0omgn5qQWKKC+qyp8sAaZpqoE5puql76Yywf5sRzV+3I46N1P81i
qztWvQmFy3hEmR7knL+lWFMd9MH4xHY+AWs2MYYpqtemsX0ix++op21bk1GDqhjeyslq/VqxYCfM
oAvVqsbfjMyoMli9CVK4IEiL164Y4BigxLMuymnXgIFCftDjlrogD+5hvFIpDFp6yBs0YmC6AvRB
ToWZD5OYFbfZiaNhdQ9+Aucm+iv6Q6S8oTj41Vso1mDEfWoEuW+j+U6Xbyyvf+uX1oKbgqK635u6
Z31UXn6boIkEirutjBQUm44sfM8mGZKl1Io4JmKbyYFWa2dVMz+bgiMCipe+Ruqc7nNN9wzAT5A+
SGfo/LTj+DUztvb9jvQdgXkY4jU96N/WGD81IzFiAnPrmnzqMU8LP9m5Gtz4fGE7lbiVw0ruiG68
ejxk26IImetxjyrsD+75u9PZrOOOi1JXBWPCJhir1xnteJMO/TxkNxBXNVhI3ogshR09Hqwejoxg
sW9zNXlrXQFriuPlvkw4G3Soi9HTrLcJTCu2hmQepHk/UxTqKxH9uC+ReSCa5Wr03VZ0wMGd0kiL
Nq5G5ewkT/HAJ3Tqkh5rk20GLfvWVQ6guuXw6NNxXGl6xhbX8gfLop0oE2vdRowHxiVTMGwQN02Q
VR6aXpKOhI4NEXgPqAxDoBRT0Gn6V2QwKMF9vvCXtY9KDoHAzCu+A9/TVUf+2EFoGMz3NtdGToVw
f1+Y4cThnUTZN/xiFexeuZ7Qo9lUc/uJ2iF2IVi+C9k/31eR4RFWcOz4acTZQ9O4awfaJOh+bqdY
FnibUTKac3Ga6AHSAAB0ZsPpBJGALlTD2oaUgIG7Xd303Mt9tHo3jbQ/FucKVAUsJCiWfd6ARi4w
L1Gn8sBg0+Uz8Le6AEIdia8ydjyElXI6tkkbHqAPuQWheMZ2TPW4pkq3vJAUNXOqN3t556mqM4Rl
HgqjvNUcq5ggTDQRwxepclesAtNTdPfkwltt4cVxGtbLweFJsenymV5pxLmTMgTR4DNoZkntlqa/
8NJjEdfiteXahq7R+E6f1Wth8c9Oh4jA0WfHaBVB06Xf36o+XbPgfmKjYpwFvRf/TuN2g1/XQKsC
kz+rMDaI0bxKvj2j4OJ2zwOUkXU/qhyT3BOIbzrxvgT7tuCeHFpWxvjeCQ6VNDPY8G32ndX9R206
18JifFh1pwnGfaoRXeY0+y7HF5wOQKOJ8AYXhZjo1EvqfJLViFSGSUz27G2BwzBTTAKZPhf7Up38
mKwlWK4ZEIGfUBd39y+i1OtM0CjNFU6hWSWRFg2qL/6IdJL/57bgmia6jjK3kEuHnPP0noJoCdxy
QfnnEcfqlmXRuVAlattD/v4B/urWRuOaqYe7igaxIMfeEO0a2dDQIy8GygEJ3r4rJGZJZEeL7N4T
OxMw4B2w0DQspAXLgWMWA8rs3AAXFMovihLcOnK2CtpG2RZVzmONRiZlw/ge5bRK6iWsajFHbFZz
dZqqvnkR0U4YPFG/gJIE6x/jq7dci7ZXs6AuQLxXWpj6yG3BYyC/Miya8+l4wFByGeixZXUINFFq
CWjaC3ou4sVMZ/oVufAybZNA2lGK+CRilg/85bdn4veOVNMOLhojgHBJdX11Bv2va5gBR6byVg35
t+NytFoe66dKFPBW3jf1xsaqvThoOIKnUv/RNTtnmouVihttG7cgXNRm2s5LHj+a7abocjRt0Tw2
Jr5kWUW7uJ/2rU5UVizHDjK12nQTPKOC65nFBFA5JVizZBge2mq50gsWTNkWX23fP+mCrrRI2OaG
w3VNrffFmlwa80XvP9ol3qaphm5n5fjmiPlkP7xlPQMhIb/DnK0zm4IR/ggNxCUmxXr30JHoAeyM
v93l/QsJ/AnEv60OiFrYxbVv8lualtda+czHBPvicLHfvZ+jFSiHWN05tNlMO7vlPdPCsuIcUhoU
XNIYwF+l6uuiB++QoN9ljuomQsBo1RoFdkgVKWJWLUM3oo80MVJRgqICpjSLn8UcrdmUTKbZ6fd8
rhqL6z0NSvSPnM6Lfw/Gqea+3HOQexBPWw5XLVUfQwMmb59p5D1Zg9kHxvHcyr5vX72m4ITDFA4B
SfelLpLrWLa3tKaq0bfSGVHKeTVg8EQzaYYXcToXi4xF2GZf99zXsZHrChXOcAMAviQHR1yo2hEP
aniE+bdas+6XhDtvsw+P8ga0GSmkrYaHpE++Ey27wZgkXtrFIxpPwA9bLF0P2tRc4aVsqn7i/HOp
tGGz4b+SdeZqSVHnJfzPGVq8ggEX5xHZhovJmKN9MC2htGjkLm6tW1ZwkOIC+px72WOZcq1lkt+Y
uAEyaXzDWGp3zWfG8NInjH5LgxjZofQ8Wbf76TijM0QB119gCxwEKTgFRdIFqXU1zfyWoJywqpz5
FwkK9D1Wc16ELzizkAzy3cchPnnAtRkWcEcLundRy6aq0u977x0yN23YDOUNvpC2HAEe0iF0PkgC
xKmh/zouyX+UWD/18nefECQQSTqWuX7NtrWS/b6vfbpvyTYJE4/WLo/IkXAhV/ZlTxZT9u1zIZqz
Uy7nSzaTtCQ/lnzBMr2X3KXoZnK0Sg0bEO1ybdxhPiNdOUKwkp9Vd8uAUvj32zzHj/T+wOal6GFD
JrhGmrvD+xJlJGKP6Msb4u8q7G0IyEbtbLGOqjZ1+4VTkjYlGsE6/V5KpICeCgHteZiJdvd1vJzD
wjR36sTHKpgjwSW+ysE9DdrjpI7IA6ekSJPe/ybVvOEC1W9aBA4LK//uDCxvpaTn3Cx17hAzFFwc
CSj5DokyPoE/N/FkPTG0Ss51nR2VmhthIpgn7FnZKYr4MBLrtVPdn7HnXVChuwI0JGvQFmiKnf8q
mZFusYvJNg+ZSogR8iWZbRiw8SC3JvA4tr26VClJpas+SozzEOhoj44zzii6A/scfSobR6zgnlQu
PQCtpVyvQK/4y4D0XnQy7bKxgyHNIyHU6uQts8IfTjWdeuAb8FpILbBOfbU5IFfYMYD6zTgkZ7zb
aH0mW4FWTyX0aVuD6+tr9APVkNE/oz8EXyLjocy9bwnXa5UxxUozK9t4nyiZddtQsmv6KNyMEpkg
WPwnDmvkBsnEWsSq9MXNGFF8NrtlAwwrR9TsMTxiaskQgnXuOHIvZOqAEIMHgGvVM5uxOiApXIM4
qoHjjTl6CRXuMisVUs/C13CqIHXhWntOLg+ZAW9vuJZ5XKmgwFxkqhT7Yic1LLz/+VGTeB7UcoRv
O+igSOqoSiB6Q1tilOybhQMIPClRKxPy1Vje+v4hQp1kZdcsz73/sg8RQq5Aaq11jAgPuUwesLqx
Nyrks4MkETs4VockLnpOcLEnFJ7uciv3H6qGQh+MrN1fv/rjIe5dtwayWnm4/wm0M09U9YQKeIF/
C0Crfz3n/n9/PfivP9xlYO6cuvvv7v+8/99fv0MB5Z8f6f7Lvx7z1wP/9ru/vSr6PHSq6NT8+fUY
OvOK0koRl/vrfe4fr3UYy3Ud8IT7H+4/QgapcTpVdA2Vpj3eXzzrPFTY//oemfer8pJxD9RgOmgq
rqWGrWQoXBYmwMvGAHDYQAU8GHII22PmGuXh/u/IsR/72hWbUCvKgxe2+nbIkTrsSqj38a3vnG7D
tRwOIU4nPtJTow/RzD70jgmxwHY7wMsLYfD+y/sPIfI4MKJUYRJnKAe6YBFVXIYJcDsu8NHUPdz/
j3DqHJIaOVRYJDtLa68dYNUN0mE6Sjm1fohpyBzCST7qAE9gtlNhto34ykh965CCYx8x3mvHnurL
KRArKFBzy1E7GNR0y77lC6KyAw0XTmdol7vKk7swxlXLLlFWTcwa22PPfM0V2/vVT+t0YsDWAFGP
MJNEahn+hF4Xa8sumJSlyVlWlPJ7zwLw7qpIPAmksqYwXHIQpUZhYmV28cVq0WyKS2ZpXMgDe9Vg
0yckEBBQ6Ce+pJl8rCUm8lpbXhQ3b/2y8WAeV2sneY3UCNYuRrp4nGEAPrhF0KKAhlymspmURfRz
OGE+hMMzUPg2zK61gbYP4rCoMC/i7mS+aPJE8Nut2UXFKnoAFfRo9NF1hv8BnqPfzb3+DJU9Ow55
EnHQuQgEGe5vfTK/3NJh/oU0Dn2n4pfXwgtFq/NLYHg9MkMaMcchQ6y3ANevVtpf2lojCy7GUxRP
lCs2gRe6YFD3prtnTHDG4CKQbUVRyvw7GPpfuTbJp7ZtjbXBCJzqDohyzEe2WRAus+0q1PL9aA1M
4VPYtqDmHsYCYQcWEPP6yNkVTQIcqNayXbGYAdrQACzXgY5TOWWgN/HTWNg2SUtmHlWrcVcg5bG4
NHuEUFpY/wNDtsX9jpH3Dz3G2q+UBqZFZKCJ26JJ4yEKi9MzPd9iushC0XZOikzfIICjLtNkoP68
X/QhhPTWkAKOnteB4mAMucexN2ghRql0b1FNkzfNbEI6MOhze896Qht6ID/WB6nRtx1OdWe4MHRd
daWVYlcbADoLmyKzDrtffALqFS0EyG/URyuLglKinCuScKaVEbto4WxNNT5knuoixdZ0fIx0XSTZ
HmUcTDU9vbpks3OSXYA1JBk+5uv042BkmO5aqp2194QTGLILQRbVX5SGOwbVN5OjEUlM9wU2CGDc
MFu0G+khpg1vJYBMp3aMzDIisarrXiS9axYQhIcGZQ4hko2uyp1lz4EzVObGapHv6C3t5lp5tGoi
80Edwk3ZKh3rHihGZwxv6CddaSO82iGaCgbBwo7FtbK9c6E5L2FIS6RxQ/LV5KFVhukFFdJPClda
KjZYeKV6B8qM3a/TX+t2pJelDRA1akb6iUSz2hOfWITvtGEh6k5GD+zTvkAsguE1SHYL8lVBhNyd
NOCziM94Ts9SM45KbrMYyot9MeO036CSaly0hfIQYaTWhidA3sSZBO+BUXlsC3iYfU1Dto1YtiFN
G+1SjkgwdDbtqsge5lWpYkJMXr5rhPM+jU7+oEO2XbpzpT234A7E78IDg70UHbMOD7iki1Agkh16
CbLT89gEc2hfG6NudqI3NpMev3R1cfbSEa4b6q4r4WkPg5TnKR16jEvGrZFkjU/jm42ahysrdfeo
BK7nELp1P8Da6UGZtEy6Z3oL+9hqt2GmqqcyT+OzPkx7NPpAcRXZdYAqSezU+nVlx83x0ZDIKwJs
g21ny00Yh1e1w9Cqj/J83U32m2Var+OC4qF6qVo8UZCJ6PThbZq8K5lc4EnkiRPLAm7ibuek/RnO
iC2kL7BJ8EVyXxJISHKm91eF7w7DPYS99PdO0u8V1q6zjYMnIdHro29g67WySEiyKspwShTPdQG8
mVFQOO2wyt7A02XCQY1YMOuLE6AXtXwxXTuYdeeKSE/rZxxirjU+5m38ZZhynYTVZcJjwO2nFYyc
XACRFVoeZBqwPzffDoJcxey/0nikNyEq1AIK79QL6xNldaZhdBhprTMpUQJ0epmSARDVz3VVv3S2
dgO3/9Av6Xvb7fFc+PSYEFrLkoawuDlJV4lPHYwxpQ2DAfJAI4tTV6Np1n5AwFiPjnJN6ubBNY0z
fmcvk0LY8KrqjC6NKfXPWCcN1kWzK1XtbYj0R8cWmwj4hmVEE20tSwAGJC3HQf0ytuKYpRFzgH5n
SihPi5p5U+2SWf8BWfCq5dEJ5Y8H3aZ/YDk02udKPwADBJRQPDpqfmoicjUAHXhdRGkmVrNWgleK
aVOZC6owd54Mai6G/v0VpOkqicd12jRvimocC/oRQLDflluzvBTWLTtBZEPEgOB9Tt0fwPN8KnYg
BI38CF37C5bISxuYHhDHccRRhdvRg9ua2EPDPK9d7dUK40+rtXceziBhbjHxivGoyZ19hPRQrRQH
T0NROYN6bpvDmR48mB0NGpXGC3V7ZbyNk6xAFoNaccU6i6PAHKOf9FOepqcpyqkZVRQe6HiaoblQ
RqJtPHtPSsGEgrDUbfNcUKoeZ6Wcg4ELP+VEtsR5bN3iZzlHiO1cXZo6uDtgkC5uSgpTy4iVny2R
rEsrvNFcdHxnDe9LJvdnQ7G2zbkbkdBRIFA1qVrDKcueRmv6TU/snVQlEHX91SRHF7a6j9AyBToq
/VOlZWuzOI4F1pr5SF+0Pc6zCDe2hk6Pl7mPSLXcnMGKqbCHXd+YxrqEoeTnmnM1UZ3xe0pJmqLF
KXQQncET52jTXgPtcYDRD677iDOXsy7zC3l1FKCEOgdWEt7EKH7XCKnb3QK50ZCOVrW1KBTrOE7q
Lq0RAqvKbpky1UHnjp9tJj7tllO/NFmEKrh8ztQ1yoOFNiJhyDwNb9O4ck5jO3zHEvvgEogykrbh
Kixryigr+hgU1towY7CCAAhgfkjkiowCRPUBVPcdVGAnBtRji73ipK/GRH0kCn2LFhflRQz8Wxkp
qYomfzMHwznaGp3jVHmiw/2IepLhpzkHvT3So9URVzSn4aCl2tNEkrR0XsDAYO0qQ8rB2PErNNF2
qYKC4ZiZW6Lfl6aFbzhyJFuEdz76Ejo9/aVx9d/sncdy41q2pl+lo8eNCngz6Ak9RUpJeYkThDKV
hPceT9/fQvaJjqoTtyruvAcnjlKiAUFg77XW7+qxuxYAqOHIVxpdimL+xFkVh5acPb2c+rM5ZHtL
Ycc2cdguivde5xoZ4uy98xicJsRY77CLw8OUcRub670+EQHoD93nFIa7TsTATlHB1oH4QBag8opO
i3OSVq9KP93bEWJ/td04ujNCq6vrVTt0RPpY+wEfgmzSyfBgbuKoqFuGAkfBkB4aAu2NtKZ0tbHA
ulY4brwgMLwMmftqMpMzEsm6WmXUerbDVGrK6IWTLHqMx2o/+ObB1MvPvvuhtWvL1X5WM8gr/03w
IqjX190gsulhZ1v9swr6ThIRhooogcF4mYpVWDSQbMoYFhe5IdnK0zBlJDvhz99IPENPBTSZMkaP
wZ3cDIMt1m/eAkfXtbxaVNCJl9q+D79qMoD/eipuI6xGkEXkIR7Y1Ug4Om9XWN5BXgJHvVXi++vJ
6bYTL0clL/9ECrAxotd5vsjrBnhT6PxfHuzzHl3oYk6rJayEHNVo5G8zrP8oeXGLTY0qo2R2hq/0
TmNDKomNKfnZIPl1+Vn+xn+lV6+QMOyNslstv6dI1apuW8cMLNSfw6EulJVhhMv/sdM60FVAx9nX
ChcjZtMez5eHlJqzk5/ldsRoYhPjClr3zcEooHXh/PeDdWitMbHrW/UmB5a3UwJEyZg3Gh5LLIoM
AzYiz0B4iLXSus88Rjg5N86+hFgmj5D3K8PyLkSlKsdqNVW6nTP/apBbLm9e1t22lA8AcG0k4xEs
eUR2IS8nxyVvq8jHydGGy2fnNSprH9BtybNDV/1Rg2RrGRMT/lwP/lpOj3w8OYV/fVSPo9JHqjnm
ZtVMM2FQwQGsFaO5Zf3eYdCzyvhdAwI2OUhk+VkeU4D3q/ZPlbYFh6I7lYc2yZ+HR4G6V4n98nm5
xPOhwba4IFC0k60TOjv5FZb7a9wyUFzwOdtoM3d0KCpiWC39JS+l4q+ZaRwNQ/eprn8ORX6Rl5TH
eAVJFz/kEXJMefE7fPjroAJ+KQdM/N1R3oq3uB+wBM9pnuNGW95OXs4eOtKLMRuBehhPT5D7sEin
eom3dl6cs/pDLQCx3ByWnc5gsQ7muxY1LAaD8QpnUlTYOkhHYEQ3h2Lb4K6KB0Uj5c4u92GASUiU
TpcFwMdF6MZ2+6KMXK6ZVe3mMHsJYh0/LyyROxBzfUAbaccq15JER+Rcim7Y3se+P+6hI9xKIpbG
ETR7Rr6BeM3HTNWqsBMnML6KcVr7ihnosdnoj3QLP4UiDuDu/FhoEGbFhdqTVibj205AEbN6MQvk
knrmNERiTAWNfEM83HwI9Sw8GgES0D5/8WcXtk6r0TcNmD816V1T9I/yX+ZV+rYUmphQwRpIQwur
ud9pTgOCxSaCd0h4U/2+2EXOLzLqq3VtTe8ttHKQGkbUasTkGzeKrWVANzBq59WY408jJ0HCruq1
JCMN+Gr35XWy2uckoB6aLYbsRNmC3U3sGWZPG6cenTG3jpNsWBi7yorC0FiESGs3UF+WcbdrMk1X
iggHvk2dZWdF8EosMTjbGYBJjbm1HhmHSTGjg1cX2EUjhLQNhsJTNl1aojVWMUaFQUphawtkprYw
KJo8+WUiktkWAd2jPnD8hGLh+4q5G+EwWN6pSkvFBLh/HGrtoGYASHqkJmvV32KM8Z6XWo7JXwIr
t4T4a5i7WQNoad2uWJud+lyit9kApl19smIwAsmJGAekwGcpOkAKxi5KwElq50PuMDvIQwbdOrw+
LC6N/exD9sbddx17DFWmYdobdpHv9LE/qWVqHstaPdUiMpwGwpEGATMtHdW9jPDTY1ZwmAvzqoAq
tlLhrqbc1xFmIGj1mGVrAkMPGry3tHgOfIrU5UJ3HVQvXW5va82ztubod7uMTmZy+mifN4B+eVY2
VFjgzp1c8qXiECQyWPHOwsljsozjpPCtdsjZB5St4CG4/1kTGRNUS8Aq1g/Cp7xCeZv98Rcuw9o2
8uLd8tYVoUuQlJUINbjYeJuo2nACg/9F1h57Kj2ZUTx80wpKXylaVm5WaG5CB8vz+3iOhg1a51OG
cSSzL/stHd16XQ4MTrvU2vUedcscoY0tpn008UwnttaWSkUFI+zFEGbGwBqNRV07KtrCZNjnVvWS
5Yyaw8EhUW9C82vqyArx1+r4bqN3fJrdVcV0wx5Jbs21MN8P4y8qTrFpm/Q9nIZT2xATN+ofqgY4
EQ4pOl3QlWlEtNwN+cUIi1/g3eEK5o23RRtz1/nVpWvCM7LNm5veex6lEdE75npSmDrLveB3XNtK
Nr7CdenWpc0aoCX2Su9pIjS1PXvaUQuYE44h7C1kRpi5gTP/gVMFUFxYUlnB8VDkrZs5utqDca9R
7zspFJF2oDxCwxBDITtmjG1CL8TwU9Bj0x6AutAhxWl012HZKnDRAhrUKbgc5ccVXQLgrzAX5F+q
WVys2XrKYBAC9gDccAN3pf7QdsYbXlP3ZPRizVRck74493a1ZTvYqbEN5jN0JIE5IAJFl6N/2yX+
ZVQ7BrguXi0zvLjcoCqTNxlAonNfe0/L4tqkBDfgFEorSi0juPsAWIaclekQN3Bmc5ml2DX7mfpb
8LOFmDP3rMO86QntjrpiVoxSyQenpUczw2TjRgRpca8umP1IYhWUVvdUxclV1zAKL7kW8JHCqw1/
vAZQG563s0sHnFZx9AnbTsXQmw2/nb3u3LR0oOr4HgbNJ6pgOsweJk8UWjUKSzgykFBetJkZEbHj
63rE6KsTM+eYcC/EOxArMfP8hiCGRjXWcgxxiCMMUHFQgbsbux4OQ5dipYLq8Ixn7q609DMmpU8z
0DejQy4Qu6dZR9MBEo8NLOtovUWe1GxdYkTKxqvuANmQhXYjEniYHkWMZbZn48JbWNfY1n+VXfNT
JWh5a8zUALmK0r7nK/BM+otgrTnOH5iRtEJx/aoh1fUDBt/Uv0FSEySBScJquWK6mu7B7NydAyaV
Ac7VQfNGQMg+tjhztQOm7bS3PHZf/pCnhuYrL2/K8BgVx9zsTkkqvFiB/NKIjC5dw/qeyxyhJ+Rn
rMbaCMl9WPYQanDvX/tBfhXEzhaQfQS82U5TdBNQ0HbLt0YfnhP0L630Gz05BGsGwRFR6/Yj181T
XisrVTEpXAU762CJlIX3URNbMYwsQEUM9ll5IYswavJNn8b7f09oNiRM/J/yIFXN1sgBhVrtuAa8
c/7+6+spyoPmf/9P7X/VOjcaHNj2sKh9MLwQUBTk13XjfMMO+oy4kS+4YYxooiqLZxwx5FaPO05S
jm/cQg1URc46srELV6mKuBqKurgowmR0AsoiDKOPy78sf5TLPb1yTqq7MLD3etja95NBh6OWd3Ha
0b/1wJGeAHgVvos0oE9zwHn79x/c+jud/M/HNhxSER3H+5eUdWhcRYZjcHugTTtgl/gwztq950Ae
VdiaMYW4T8pbgUnCRtcsa1W5Ghp5TTgXRcwNQScHK4BypYB/NwnNJ4QJgGd4fKMI+UL1SwE2ez/d
SjSn7q6zOHvLLsqADSGacsJ00TjqYfbc1z43AhRkX4luUjaFcp0mQkUeDb6PP1x7ITjkOaMgv5ou
VFmfQ82KLStcZuu0RGF/dNUqOuDsXf6uIuKfib/+DyfN+FtCK1cLH1Q3bHT5gLv/ctJcx02cXjEw
JYkMCHBoBGcwSkdKogXLHevnVgcWW8iUCz0C1OVYmIzjZGuhYTk7hYfjqaW8YoLzEGDts5Bj5oHS
a55ZPBx7Kmjj0lOCFeymt7mEQjV8ZEz6+YfNZhqvvQ6OO9MiCbkhGDDET+rHth/ZVEMySHdByFBa
7sB/f804f79mDItFAxWGC5PxbxKEgNwy3YuCBs+HRt/hiqj4OKo5IdtEhpocYgZaQyHTq3rMTNDF
5lxIeooIXaNMSODCJvcn/4dV4otWOVsWv8Nss9Rl/bEpoVguBcNYTY8jTAMcO2kkzOw6uZyZ3PNe
CMjjDTXGLXAgWH+Uk58NYEQewiQpXK0YZTA6wVtaqgFuxc12cEgGClyYVPEIwyMdD7gXH+J5WnhI
8UBcltWUR9ut4BbK3maGmre3IvNYCBHLDfpyraXAQAbjo4gWfO/VsD+Tq+rDPQqm1wRqwuw0NnoA
dlfgKpzJraSCT843rsfeBh43AzDzWMHE+g/hmrrq/H0Bcwwd0YqBMMOwnX9NI7U6xSjTCaMZcuJY
ISlW960bjxvdhLOTDw/2bBsY9TpspVV3Z9sVHjF9eGNPLjuIzXobvE5y8ZXCs8K54BR62b1rBfZa
KXiSEuXvaOUZLoBf/VmUGu1o2t2q6at4q2j6lzrM3+RBXuGe7fACftG99OYmLByZ8szggw21xsBK
WGVJjTkezo/3sdld56wstxPp0ciFPivhcZo+syGlDyOMG9ItStBXcXYS9fDww3PGbTu3J6XCMDPp
CaWsc+uUa4N1sqC7JomRHWpgkpCXPvfZeOd7fc1vcu3oD8jesupHw6wOv5kU0xUKBLHwUWGTw53d
lAPjxhT5M0sb4o3iKhx8p7IZdrLgCTNsobMZLQx0y/gWQmyNUczC6bHr9JZ6wY40Kvi/JlvDwqRa
/q5TyBm18qj2wS1H4qvEmJ3ozfdSUAZZebEVEMw67zBKkTtDiFu1Y73Mfn2Wvjgoow8nro9e4b+y
Ul6lNaWLxs1YZkNh2n4MnvXh4yqYWB2U3h7x9+zVe8aQ54pIY8Y21Ahz0aOxLT6FGETFj6Ealptw
GG9mPz7iSXvS1RA31RgOfWRQhc/e95QHb7hFEMkGU7UNv4qg+6no8lpYHq09EyU7kggry0baTaS1
CVfKHILYqSRVKAmdaFTl59p2XhIFBq+wuqTibDCdETII9q+M6N00PLqBtfLVP/y2TvqOvOemU7OO
PrKuDhEcUpchghMy6hACnRkCOyWknZo5h6uT3YiqXYd7b5YvnQafv2rwVJFWmEp2S0Sait2G8ej6
xccit3dm3lxtq7eo0j+WGzysS5Tu+fgYxj0MgDJAAFPplzIecSGs6fEbBg8BiF7k1u9uMFwsQ2Gx
oe9ZWcQPWfTkLvFyRy+j/NM82iLNUZ/Gqngqo+IyiW6CUHGU8diRN2z+qk/0VGT6L4R4JhufOMja
QOa+tN2twuCk1xgFzJT3mtAfC4UnxuMxjEgdC76Y9CvKctmG4UnTanYPMKPUcE+lDcM/bo3oVHOS
zRlHkyDPP7AB2VYuQrZkALgGGX/tkkI7ddDTLKVYD0MSXWJ9OGKnMhwKHbdA18kwJZt7f4cgjZFF
h9Vi3rOfkO+7N+fwYtFbHpXETjeljxrcdYfzMM0/rWTSn5OZWXLSn5UQLdiMiIWoejesWI5qsvic
lolTBN9TDcnBcUpRjyPujNrI3OVho68H3egxN/QITUBY0XXp3m4xEBpt7CcLbLeYkrZ0qibAXVtC
7IGkSRR7Y20XYpAYXE5ECvBNbEdxtYNVdmckJSkTChG0c0TM6agauEjN9zpTc3J1FYgsOaYZYlY9
e/N9mJvJFgnMRek0nJhM/DGzOdnPGDVD6PooyeVk866C3WA1t1Hnt5bCjKHQNeNusdh3HMIQl5+A
DbWEFHNFVx9nzdZ30NcOpWrom9A2XmyvmO+89m2oIpv5ElSUYaosYpTkxxYwqMNjrgiTEb4iHq66
U5+gPIyHyp+VU+TEzl0935Z/NPKb5ScUdYCgKJM5e1O8ZR8nTdBw72fI6wfTdLyTT7b73s2N96jy
kvMYYFNt4MPjaZkFNDVhg9EU9x39z6EY5ofAceJDGqcayhEkuRFJ6adUyZV1gdMkWUcYv4S9jmNt
Y+2Xo1yOwnAaPobR3AofDotf5DXkhwhIxZ3wvKANXReDQW6o2+/1YApJa8BRrq2SM2aA3tqKeDu1
wARRVdtDKVbKGuDh1tDg8TYwBE9u9lZ10Ot0KzgmTm2fSilCyKGBTzc24x6x2aOJp/hhsHCC0hip
JNSdAC3jmxeruzma8C7Rv40hTrZxp9cns2rr0xhqvyrI6btsLLpTWGJBBUMmIAp22iZjrx0dMwfM
YUp4GnTTIQgM2JC1+NkP3DeM2CJEdip0Fh/REd7UXU4PaRjxaZgerXZ6yBtul9DTLjrpLC4TE/iD
+MgfcLrIZ+3Oje5mDqCbA1KHMLfcQ3Lq9w2mpkE3tXs1s+mSK6wp7yzFaZhkGKt+BkRZx5N2Idui
vYNgHx/jwod7jHKBGaGGnzptYYLI5M5lpWbjick+ldcIoPIeBmQZa93BHyCNQlIeBCcVjQrNGGE1
lGZ5o90tDOCkQYlSFC3MLCVf14TPIW8Ncd6EHIkTOxPgpL8FNnwd+GLnZdXKpeyDXv2dhvarmeET
JtVF1k/FBpxsvyjog7b56APYji5wH0zu9OpOLFPziMeT6BksHMOhlRAl4m8XanQ64nQWIqiarGI3
1MlPzGNPCz0bz2d77VBIA9eRMqIjWhts5QF+1G45yoUwLSOi2c8uY7iB1HinhdqDhpMEN2mznrF3
xP31ZamT6ontYwiyfRhDt0p9r14rHd0ZYxqNgfcaB+hH2T4XDjniF1j9NWs/n0Lcrp5mn+lv1iRX
IhLYyqCdU6bXL3OVXYUPK+xz24CBjrAJKHGU+OZrhAiSsHg8b5iaDwERIBBjST/llUrSWOBenRti
zpl0IMVJwOHKCkOc9C5mrrjqOt6nhfqcVJDOlK6iteI3i0hmDkp1dV24/USYtJET7ZwUKmqWDHut
G17mNsKrmyAnvP3C+zodip3akOtB3b0QhMcaGUEt7hs9PPutI5p7iJQ3g6yoFeI59GQG/W01zgR5
EhWrtShf40I0qJ5+GJXqoVa9l8CawSr1C90t2hB7eLFg7mZpdJurlHsVCKpTXpKRiYNtox2op2vv
wlBp1WqrT9WlcswDucsITazD0kA7wjbuGucHbIkfQ9YYu76BxdU69TFdpmmiB/QUDIXqy2LDkgUT
kgib6Wpx1+CfOqfGcyoDzVLUNXjeeyu18k5D2FG0GGdLhzdFp983KF/4fzQwq5yc3F8BhK5jlfjm
ymeKpo93hm8kADJIMgL/dx8O1MVyRcyhwSySMnIV65j6CKi6DFtGn/7E6dN3x2vJ0Kw/kKYdA/AV
dMXJgF0d2R0xB90csw66ijlSPeUBdZGNYMDo5hmJbnZtFGXXpMr78gaBRV6nsJWNfCRG2WpeRLRj
sj6w2lbvUnsu8wPfpBKprGAj9XlT1c8J0DUiGWpfTIO2Mbmzm1ApzphulngyOU/pZDxUSnsfOdzo
GBwli4WaGkSQasFv8e6gwFTJG4riB0u3mY9zaOIAM1g4rAfju0pm+lZ3OB0tQbWrwIp0eAg8kFic
fI2rBVacwufHUBrDGKKBW9v+7fZese3tyDu3IkWNRIrkqwaHZoLTLS2iwkt4Tnjv9sG3EtwXaM6Z
Vr+qhn8rlZkAV/iTBfKdzegU1OTDfBlyjpUoN/KPQqddm33xgzDIDasPUpcRr0Ml+KnlnEOpUtmw
t/bkYPtcXQ/F5H2qWXbTdMQCct+2Wvhouxm2HeXvhAxbTQYgGZNfdL3qMZnq757JqSHHOFL/YrWE
v5k3txwiNkRxTveRYe96N9flMSM4bN3apkqjcRgUbh3PN62NogybsDcQN3aVubdC2LrGGN+WiYgL
0yFQ/AZTsSzcmIDuy6+VcMJKSnt2E/fLHb0HZlBbqZfCvtuqvYsdkoyqFulQEVxzy0Qh2SV4BM3k
W9B6/VnLAr7ooYiv3ph8uUH4Ow/timl0iZK6yze+42Oiqu2mkE4ekjjLYYNuAmuz0Rgoqo19WXQ0
OKK5axQojX3l7ES0Iv24tCTWRHtNTcabJJhHwZ+ZClz8Fn19bHzhaYpgUBQeS39UhuzaGH0hnpFc
kd57WYRTiwJDk4uKRNZXcmSxLqOqlgHcMrfWpWqWBKO0HVDfYKgArzRA8kvhlwmfyhzyZG1woyYM
Ig/diNn6SLjDAgAs+hwVnePKh/2lOT1UWuk6TN1dR81uwJHXxhFJKvteU0y0z4+299DN7T4rdEIB
4Z4co0aDjGW7oDhRSgIKKZl59NqZNl+GdYrN4KiZurU2GjKmY9umH4P4j0hXeehn+6ktc39tiapM
aXEXbIxfk6yyCT3o0NbYe9cQz+nX0JPZJTdRfiAbswyhtKqR7WzxL9ZbvsVFEatilrLJcm+LnHZM
tWat5TT6ZDDZ6+UQzJgVd/CrT3LH0KdjwaSQCteMObsrK1Kc0SxWuFpyoljjGoqDBPtinF4v2oRV
oYnqopu9/GiUqoPVOUIixBp3i0B0CA6m1dEatRuknkr+YwE4lyZX79HtGc65UxJwdqbvdVZ8GmSV
BsX80AzcqIvq1nfAK61q7HbGT7xjXzylGTetiUAtGvE2jVWc4RP7u0AGsWsz51zmYg7oMMgvJ9U4
Fv5PEyfJlYY5Uhr4h8WmY+qU6V4339LAIvF0wMt3mfjgHIXmr3HzM7PpO/xaA5joya2ehluRKPA/
nYSbrojXaXqJI1hCLlVTIRLDRbO8KE/CuTqyor14ZvW5QG7TxF7nttMnPkDnWJ0f+2zGQ9Kl4mi8
RFgK+aby4s9lbLWMnIOw++n4848R3vZQOC9tNRI8k+M8br+QPXNfF9belf61Y1QBawzNlvg6+AGZ
5JmovARutivEshz80k8qKn4Ng0JyQVgkjHyiAsI5Hk8N+92y88VlfWk60GPQzJ0oEJe7KzGmnVk1
JzfXoS4lr2bARyni6uh1cOj8FoMkqrmqZXlebrlMEJkF1BCgqOt/OjjvMwFXq306vaUmvbv4exnx
JbLU77zjvlSUcNfbrJxehtuBTI5dB66rSpjWcmBuEvxU8F5dIMw/kLRWDysoUbZoogheIk7Kel6Q
3uU7hGoBVh8zdK4B82tsfTtHjPydF4AmdhapkQqVlanDMRF8WzmOYxZj5x/eFFX53Zv9R+sPj4zD
ABySAIPSA0HfFAgMMJargbS6crvcF8sMQQFgAfLhBZlP7nFRe5KaGdJmslmQiwXAaq0v322fFy2R
h7R5pUBqtOa4IVwpmBgkzm/hqEBp8MNdTj3M7JFjNRkailkWdpzCo0gYQVUpjhaYGaMe4P5gkIiN
gQxVx/kcyAVZEidL2QjyaeCnQA96JO3w4rmi7WXh1VIWXxzBkVApMB5ge1MIjQdDdjwXyidS7vQi
9ZhRjJsM6xrRC+INIbMvqbQ0Ss/lLMeh+T5Qd7ojA59F4qW9OrONUVyigkuS8w2zEONGWl+/O01m
cBOsLwrhp8zVQ9nH++W1LEF15xIkNa6rFxr/W64waMLd+c7lm18vwmLxzZVVn7HdPm2i/TIDIpb1
ssybx0CDcAomIagL/DOi+aj2QHDLXYz2sBraeScQJlQzMC+XryWrL8ibPxqaWwIZX5E+AFwwy4BR
r98nafix3EOVpg07Z6wRrDjFNijIUGxRmIhHjUji7LHg8neDyyKkdUWAL2peR/lOGVKgYvL2aEso
M+TOdPv0yuBInemDl5WiA9DWpnFLSMB1xJ+ek/G2QBxzhilBaT9P4Wv32yLqdUWyJ4Qv5wFdzjWn
pSYQhW++AeSt8vRmOPk1yoZL5E3ILQNtwb9NB080uMeLflJxqW71kp0za/LzJGYCGSayu5LgN/QA
hUnfIBcrduMQT2Q6JWULGBkRuU2LqTzridRzkVghkHl0aUWBuNBGLKJJUzNmZFwBakOfQq2pEA1a
rG1UQds8IqqGSSc3OTcWsM+dNZqPegBepirTsDMROw+leTCC4rYQBqDYg5nm7WYwgnZzrWtFg1Ge
XQg+o0AJ7CtamIOcMla6D9WbdtLORKKtNZvsEjrs/AJ+y6oXl+S7xnSpCfZmKzJbv2UGOXTUkIuC
m/3jLcBLBycHrms3QRqsovWROr1k9NuhE5196zjY4oMuHyHsR8be+byqitCGF/68IBiLp/Po4o0s
niMJMmv2SNi/bXAgt/GalGq3Tiz96k20Syn3VVQwTye7/Im07nJV4V7E3/EWoA0pdfSqQaPYkIHR
tJjY49NCSHRZ9TSldkXHS/MnycVeiT62s1a9gpCYy2IpVlBCXfKcjF03vMkZlXcLjZqOTBQdjQ4k
IjPpDGt40LNyZVnJOWeCPFv4Ji5jfpXGVHy7M/Imo3upnOaEEo3adpfGEarinGsHWOVN1RjD+GhE
M20gpWd+rzoEuPg2o7FhpcT8WcO/Yz4ta0YjuvQ4htCUoJ/EXtE4+fW4Yyy+5XBp9ADT/8jiqWzG
zqF1dpnlajgs1TZj0oIQ6DXVRoKkgm4XXzdxvmBMBLwjCoesbn+rAB4KNiZrvWchyW5QRxnu+s6x
0zzmKXRgpghurbbfwCWL0YAkBFWU/S/MffdyuS9rYhJHvF0X7xY8xFZR/acOkBIl2FJmqqELld/6
5RZIILrsHJthuHbd3L8D01wPlWLjd67gcMh26EbWjj7qYbEq0EQUH05MeQsLsVRGDbncP6HhIOBg
zItHaWZs6zk4S+1lOuChZTA/jEPi409Yw+JzXqeqIWnSfV2GCcscQ2mIF+h6/Xkxx6jTCbZt0sD2
RA/UJyyjrhfSQxvOXZgWj0bIlTOz2dg6yT7Ny2yydScJyqzM7ZBr3CYTA6REQXpaWdazRD6Q5zMf
RvHfzHM2dtXrtV2RHDqxecmc4p5sSzxI7OnLHX4vKnW/SqCXeJzzjlmNS5NqldE5RKnruj1bwYyu
yxv0ChPM6NbSEa2cmZTPngW+8BlDhqxDhl+xXeMnamV3odaBoxGzDvquOkwfe9nqhvKtZUmWyUpG
yA9X46GiM3KwcBfy8G1poNu5eTaM7q0fRnOt8/0kSRqRPsGt7AOXKKC2AzbW4zCGtOeQbwcaDMdO
fidlcZxIYTojnVmZjlB9ZVAPu+xzirIvPWSJAJ3rCZ5QWeugbOkO5AwFkU5Ubc0SIteQ2qfIVyco
deZjJoyPdOgfqlqfwWuiB9OFg1XP8OAyIU+VAcW7xV3JcHbbs7UEk00Yx8z0rWJKulE9f7NQLlrb
pfO0grNNkbKuPNZjf/7tUNjCzUH1khNLhkMX1ag6Zx9ZhRrDqnEBqh1eb4ytzeKsThG5XchDoQ2X
bgpoTxufRYn8vY/RMhYWQ6P1X3HbrLuIQ3bqK5nIGHZCyV3LTi6Y2OK8E9kAIJWFXbtiKjeFdIVl
gMJXXVGVvC/mKlFS3StF/yz7ZgUHncF9d8KhChm5tPAx6JCjcZs3Qfqr6N6XJXRZz/L4SvYptg0l
XErzPfXIdY+YD9g9FvJjXd87YK872vwrMZlbLSsfw+p373ZfZQWu7sZ8Z6lOyRbBqluPDgJMIzk3
kuQmMN5iFUIxXuJ8vGb+epXuLg+8gxsNmAUbzwYp5ys12FfzWe9DsQdomNfAX96ZpXdSFH+facnP
xZQjU1jhMhlNoyFY1UL6CHz3xWupwHyDCsxlOZfpl4MpwMLpGObwbnCjDxiHDPfG1TLmLIF61ugJ
917vRIfFGGpheg3VinTOinked4eAf4kNidYNkt9QnqiMfPLezCr5vRgLWTY7ileQ7BUa711s/o6b
9FUMjGTbVAucmQm4+3aLhjCf4nuB62D77aemfJ9d6iBcd0q8XcS3gSmncIb6FrZlA7Ibys1Xt8UL
Es3jAgBrDogdAxoolt4FL8AfPnS/LaIMltoAznvrP0v7NI6U9wWGTECSDPN6RxysqA4zofh1ZnZv
k2O9nnPl9zIc1slRwtamZzzVrUFIILJafO9aAxM+r0mupjmAQUQaogo+h6io2/WQ3yS4G56QlBBW
b6+zBndvgPinLoQ9K2efixsSFwBk1pZnxoRn4SqhXjgstd/SuxXKQ5SRAeuCaaY2vvzoPtF/1RAf
IWYbGDRB0Y32o5ns29h+JwkF2Ung/wyFUkv8z9ZrdCBS6hCjJt6MnvYu6sv3VnOrDfDO2rPbB7hm
EOHFSky6tFEskdD7EVMQfcrMt89SrAMUhp8yXi+al8aEc720N604jS0watcR5mzmBPta36k1oigU
OwnpbGQ6StzgLW/wYzBGB1kiLVvKnx2RzwoVxIQaEvfuD8JL7sNihipg0J+ZVnWHW6d4wztfckPE
GdQ0HV2NVNELAS5pqLScOfqsfsQ1DUUmHzSUCqDtfigHu86w8B2xDna15nHx70pmtuvI3cGbd+kA
dbz7gFu3NtTwpjBC7mWfoBFCLf+YQJYY9mq6/SLT8blwvnOl/hJHK+kZAT5e0bQcqpRsLY6oiKzz
zNCDITI1o+Q3194ztqUfqAjRYbKSs9yxrlyyWX1ZvA9TOXxPOY8q6YlVgoa4ETc6nESyvW9A021O
DDG/limLNrJyhIQ4NWr9WjDnR3gaQQOMjI2cwmlOSg65f3LlniwK3wBAgQRDq2Wk+RvOugILLBRK
aTyXO3cWdz3pwZbZEzOKO4PqJTWzX8QIwRPlM7nlfJ+V7p1TAtfN9q9sqJDJQNFVs9skbnGO+a1H
I1mn8dWw7GQXAm+y3AMGkDAn34bCkAnMBuPxseM7NasnJHxs6MB48medEm1EpbGqpLKS07xUxDJO
X/rrUTJRFrciefSEOxxscUrmpQNssVdAeZycJlkoZAdHc5S0OO91YwxJAk9vQjlFt8lk2yACKaMf
pmu4okv+tBoWXqW2KbjxqeFMzFJquzK+x+vyh01wwMLynDsY13XlPi07SQ/LB7sjlVIefD8uqUS4
RD9tDAuzObsziUWVD9F35BR1n7LWLHu/5c8PBsSjLTxRc9qJFVsHHWelB9GNqCAqVDU6aSXehlFe
frTF82RYL4uDlBS9tjFf09w7ocAT+0EjWs1B8N4+qE34WSrGd/lo7vDVtzZ1yRcqVcWy2Shk2pFF
soMSicU8paoACvpDg1nCyuz7Y5wPR2RSP6DovzXYLK9Q17/kw1OYgSQjiXipdN0ASIxZupLrUt/i
bq+sM38VNdZrUVfDn2mcJrGKloWyUQ+MPyzI/+9o/J8cjQ1bg+P2XzsaP8DwCP/H+gurxij/+idf
4z9P/X++xiYQh4POF4KcbluwtP6vr7Fr/sPQNWb46BlsEx0tvr1/GRvb/0A2oBmu5QL78zSe9Zex
sfEPHqq5no4hsooo4L9lbGzgzPuvPFcmugbJwhZ1vqYSOfrPPFcnGSskiSDORGuYe3ssXy0XKrYa
4w1f6t1jDKT7GBBZlZM9tFeJ1dow1jWeCC/EEyebuzsrK5n/5vZTqVQYeDZ6votQpsL9IAd0mE3r
gmOPG5T9xe6CXUB6x3NBBCjw8oASpivLd6O+97RknUTqfPU79rHcG6oHvc3LUzLnEgLYTACZmvOI
oziW+ZafPTsJqsrAJqhA840nV1fg7eloYq0i8k7UMB13HiE5OjpuZhtM9IqpGUltUO7h6BPblUF0
M3ObGDcyo/e9Ng0fal3j9x6Nn5FLHcgwbVvWKWhcZhfv0yRKrxD3GyOFN5gF3es4Idsnvba87yCg
vTb0TauibK1NycRGZCzha47xLmUFoMicnZoRuff8OPmheezd6stzCOGJk2SvVWOKfNxyz7E9h3sw
zx2+Y2XRag+GEb17JXJmB8O5aiZJx8v+D2Nnstw2Em3bL0JEAkh0U5EgSJASJarXBGFbNvq+TXz9
XVBF3De5gzcohV0luyQRzDzN3mvj3c7VuY8MQoDH6k0gfCloZE4sk15qm8aRzNJuzwLhrza7fk0M
3Un0aw8DhnsgL5YtpHVfJU1yrNb5xrIHEJ7xDCkCOqMsDxi6+4Mm+xo76AWYmPeG+eAJjU/1GI/L
RzSXnLZLMQH9z2YuhbE+Ao2YY5xsM3omjzHagi7iUS4TKu5Jf0CRibQdUmWAi3g17IvmEqveQEcd
aiYyQyfKoxpcI+wdasdRdtlbxAxVpmv1CN8roZrV62Mjv3kftcc8K+XRUba4pl5UsBw3X/pcizrf
4fJzk/7qGqWBiz9qTl4zeVRoBu5Bg2QlixfnAP4OjoWaDrZHJlCxtNrmKNdI4yK+SsvakaxmJHTE
HyGjmrV/aAF/N5pQRxW35pPQ0EhE5kk3Ku9ijV5zWvhLkQKkpj8IOw7Z2wGvStuCKirVDhrKFYgh
Lvu9yTMfTUi9UN7KnoiX4qszRU4VyQdnHc6s4NJjUo3NWeQFz31Cf41iqCRHgs3DbS0c497FfXpv
mhaAloKugrH2c542cHwhHrnwNXH8qNCVEfN0U8MV5tpPi6m2/D20OXbfpszDqIb4MgrfwxiIOgro
VYMC5hGZJS5FUvTwXQte/nJE5okBjIT4kYwfBU7W0PbENiBcT4HTZtH2mrIsy6JsDYzSrO9MBaGB
xCxfb7Lx7mVeqvGMTOC3GQ3FqWsRMVjM4itux30tOnfntkR2O113VOsNy8iZoaGDRb+sGO5v3z7U
CQrjutvUAisbHsJ7h+1hBVeS7uvKlvteb3DoTrl7Tuf8nZji7pF4mGdcG2Eamea9gQQn0aL6XMwb
rpEN8GTH9UdZ61Ai+4q9oGvd8955twbiGdce/6perE/rYqjTNiBSXZqdwZkkDFHI6U6qDdyL0icY
oVQAp0ucu1FMK/xQoH+QBXmjgUzdWI72HpqR8WCmaXufmQn65oplYdsSR1dnoUDEuLxqpHINMh3v
6cd0oMzECXl4KYEWEN9OEBPAxfWtWqrmCvMIbXONRBb9QihW78P1UIGtlUMrYJUAGyBu2TI6kGlS
f6YZ/jXhHMbWbO7jcgAs4i0LqkO93BVOk1zgNMJCxC65AzbN4qSyaPe1cryikzCewCFcDThMhE06
TwQ0aLuOroAD3GZmgQGldFvn9zwlYGxRKDTZG8haoAgUqn61J6EzO6k+su5GPU9PExuHfV86nk+Q
DMS6BExCamgZDn3tN2ak+TkDF1xjF5Mo0+9tYXvY4Lva5x6qL3ZnPlVqfBeKk1//K5zEuDY8/X4i
UkElZWErdfGJxcs0BrG3GqSqdiSsTeSEoXXcydb5hWXWezNRlj9IVpAd6NL9Atb5OGYUs9jcl4td
asZBCYsc1xVrHIqixzVx66+M9NerY2qvbA3PZWePr7Xj90Yk2R3Cejb0DMPtMP7DiTIeNGGwN+7r
5IJ9jstDbN6QXKpz6+YfRao/x+minVnnMIkr8pdO/Wmm6DomhvuaadpH6YznpnGy/ZrbgG8MFmFG
wuoGKdvql6SLIX9quwe6/TAmoCtfZ/VFt/OlbD4TiitO/K71TqgnvF0cK3wGSCePHk/8fkCm9ITk
xZTmd8zS462NIZusIn5MXZiMY+4yu1bsHWeV3haRt0HV8U+VafdlYqLKMqO93njTWfYGq6+2+ogS
8KJzXtZhkyfof9y1DJZVY3IaNeOBMBYjILn0yIyqfhmL0dyB7VwCNn/e1TWno8CxdHA61BbWZImL
16L2rLXBZYVpz76zlOspBmBDoixj4w7B8cOM/5REGRvzl2Daaxuvs14vYZrpj2uK7B9ho3WTPEMx
jYBd61M4RLAxRwvOADd1szcKjTD01vhnKPUL3ar+pvSzmCrvDXDGjcLo11ol1a5VPYSlvH+NJ4/p
3yDG/rK2mk8g5C8EpHNYa/NH04eabnp7u222NLYmZ2+sn/+7SBxiBRNkr8RgO7ov2440l547cRwH
gxqAFMy8Y6iXbOsJr4BGsRq/jFZYT/ks9FMhWvNi5CYL161jI5M9ZpFRuccOQxuRZUn9Arx39T2X
ax19IrKFWsHHJcXy3Blmhi+Bhc+Yq5AJpXvk7c4ccP5jF7ciWqMzg/8sYPQA8qPN9VtOVrUzTN7Z
bOtgwjMT9tbchY55jUcpbsPAFq2Jz1JPw07V9anJB8CZNfYcFgiHnwk99oj+iZjIs8cBBIbYZD6T
l3nQg7G8TFUS2i1mtQzi1p1TFH/btaUq0NCJjzPycp5sNNXLjZiD56HXLFK12KANGAEqvRUHd4gD
zamRg2VfhSmqEyvz705YtV950YDJD6556mb3uLDGu6Hfmi+oVeQmCWbAk1vgJgRrPeUxVjkMKzTs
K+ZUQiN/QpdTrGyAGLrqmJBheOCVNn0YW4xo8Gu09dj7CA/i07xmOrFL3n6q3fE62SPFYzZfyM3D
FT+zt+07S+6l2yJWmozkYlv137FbQJgihyG6kTmmlNWpn93u0dS097lONlnp8+Bo9XMW/JQRkG+R
p+u3rKz0g2hblmD5WH1MwOMXjjZtJT4n/0NAsEmeDVFSsnHuXerCfRM3HVwYdAOO91lZNy2R8xVg
zC9EPGNQrkfhtkzO9Kx/Yopyt6BhPLtFwS7Q1i+YYAY0BOdiUv9My4QFFMXOXRWvXAoOBmcvRWuc
IQA8D3qzH9NI+ZUOw2nosuGxpNRa5Bz7cTY+UrOWl5Kf4s52aNuljIsjQy1c25v2aCIY/UBr+1Ya
PYu/nCF5WVsr85Ec+fYkhvNG8p5MBp9AxOOjctWrZKsVML57cditkz3GqMXK5mtC7cbEbz1VzRjt
1oH3/MBXZBvaS0bwSeR2H0wd+Bv27JPbayMr34znJ89I21OOrnPMasgvMkLVrERoQRjaKuw2s3UG
7yNJjh0qyYh58q1kG5iwvcxHq4HWVXJ3NustZ1oi0oRY2BTobLwsj/UGvTNT/dQv+KW1xfMRMU17
U9u2NzMWT8aKpCoV1TcrNhszupnC2mK3nir0F8ngyIcBuAi3nb0GdF1o7DWTyMZEcw5svepdtt0o
ACLeyy6Tp59iiK8XK+QCVG1onvuUgFK6AOOKnhMD7+pdnJwJHB7ENOiM5tlZmImkepodYN495ZvR
lv8eFpjZ9nZeoxbIDeBX1tr5bNjQaEmFQnMrymZnXi6YYGt+JAQ/QmQAvjCXX1k9lHedVhUX6HTt
aapEtXe0NL9YkEPBhcLRcBSqDbtVvmd4JkIqdKD2hKaaZd0uXbALdyYDUBsFHeAGzkNLRT66l3qG
4qT0B/YTG8zd82GqJXxZ2KbKRgUVkO3Fs8pb7KFDrDmOE1sMp5pEwJ2aQJe0FNvYCdnJpkZbUFV6
J82k8B1TamqtM3es3erjUvJUtpALgsQ0jg7Gg8rrZvTBVr/XxeS7yq38evyaDCoswDh4uS3hZ3L5
9wPB7j3u1GKAZGAgJpJmM0HbR0YFTULbVdIG4dibGyYIzz8bGWD6cAB+JG2FN0F0UxkbiMEgkE7P
kO+2CZxFzeARSIx2X8TZR5a7sR/1LCx/jgFeOr8n+cFu1ythdtZ+WN3uxDhoh60mo4OaZyatutwb
RvzgzVX1ojfVB2ldYYrS8RhTMAIq4ayP1JKc5bI8l8KegnoQTGBBBtJccdMxwt+LooF1OKYvK6hZ
CDLYBQFzA9TzcGw5z5jeoeA07PCafCy5wG04LnbUBY6mTUGRqXeP5PmHaGAzWPTRli3DY9kZ9Z2O
xiBESXzfqOY9TYCrF3Y1wgnBktJU6rMvJ/JwpKrPyNTtg9sDmZtXwofbNP8YPUTxk2en+3xcCb10
7XvLwLRhzVu2aVRj+7azOJRLfq4M2Z701voGMTOBUUYvx3ad+WdaaMcljmbuVcKpIW8BJ+/3Pw13
6kKgiYbymSwNfuKT/q+mfvGnLMn8JJ7+KKvh5S4gv7XkWGBiZa4PR3rvla3LrBkxqph5q6UlePVZ
afGhax2xb/INT5ZjcK0TUPvKgOyZdO6x7xtkeTrU9JTMKnjZyKhy3b4H+Mb2VJqh7VCtSHaFB520
GQRh1p8UNX4k2to3oKwFKoKzbgee3oMEy7nuB87tQyTbX7al/vTraaDvPK79AjhnylOiBmHwtJF2
apa8P3ZLRlKvYy433VhsXkM1nxUWdCRbHMJNv82A1+h+iaYvOlc+oZjQo7rDu+tM9qmBcvyIexkc
VMAtPlwj7qNAMsoBDrbtO1wPpOLeXHHCr/PkIGDlvWhZhH6ILmdxGS/enrC9v24GRGtpl4xSnCYs
U+6F1Zz+YsdIrIFUFEHqbDp2elNuj+oGK/xkWgahMIVLADy89cBmV+m5ZX/qqoelNuTFQGp2SiuE
zVjQ4NmAVWGRqdbe1wn0YnFSpkEZZQztJQu2vMeEo/AAPoihOWgk0A9lEr0leh+MoiFVJYOorJtU
OzWR7DtvvaxsBdK8yR/oCAYC/kC7NUUsWOyzsSYImxhCExy0vl2BS2eIS+Rlr3Y3LJeGcI1JgW5R
3aPCT3QuC5jRWdS/2FCsetS8TuJZ9/QdQTZU7uOwiNt/IS4e5nyKLmG79glkc01NVHKoJiACPSh4
7zWmeB1gLNflGrSRBTOxZz2Qdshi2C2GmH7nk7a6Tzrbr8fa/UK2TsM614+NXmKsHzy/XjH4wJ90
TzoEsm7ECcbi7ahYwuxKw14OecOQypGwDzcipdLvR9rh+zSfPyDG9m84yBgYVL8HTUufZZF+RNlU
nuMo+fq5sTLEHFFfwSjU24qoD8zNDGIwPXXPSc75YnbmfY5Z6i5hHRhwyBknjhVK9icUP8VbAnQK
eT36H4/vrVNDQ+xBUKaTcZ2FnNnuRXEAC7UaUOAmbWjX/dH1dP1lJT+ARkQcEYdCoI6XB2P7bhfW
/HTNMj15GRQ9E47bKVWBs1DvxbOujnM0WHcyppxrM6T+uR7/s1dHPW5Jq8LU+htaLghotxJX5We2
hQ4MGbMjvMkHF6V2nsn6bFXZv0x24t5iD22VCSBERrwnvFPQtghHDoZeJA/Afb3RPbWLQhJMUFRE
BG4ya6eeVORzupgV8AZvOMSwCO8raNrH1h2fa2/m6+9ycZqIlLQggwVTghwgy7N6L1WS3hezZQTE
gSEPVIvaeYuUv8eJGE0ANtbcf+g921mdqeYdJ/lVlkuCjyuixO+dvYsQ/V7U3+4yBAtO612H5Gif
CO8z2ZiDLvOZHcVeTEzG2pF5rd/EJkowR7oZKpv5sf1y5YoDx2Sf1wF6llEEFor97y1Jkn3Wi/dk
GswvxFpRpI3n1LTgJNrRyTac+Jy5Rcg3M1/tXp4Y5HaBzFxxRJrKvrsCcalpGsOYUjxpGbG5TepM
D7POHoWkKKyFbv5cseLyVnJueqtZfFaJLCy3Ya059zcr7Rhmorujpk0cf81ASNUS0g2e77c+f1ps
tTJKsf8YZjKHk+ZURHZhPBjnFyJrnKucTzEz9IvHvWzoc3S0eoBJPW4Aim9wSKutlTTiC0hc140C
BudMsRBgAKooxpBY63kXz/my00BKHFON2roaVbxxqdxdAxqbnWkfE6gBO+NnYjGtIFiQz5aBlrIM
BlxBJnaslYe261A5pLUXOLzVVyhoDIGSx1pTNzaoLBBt+TAu4/SmEJGeuJ8fZun+mazae84z3Xsm
hAQHBrMJVz5ihSJvDWT8NnLODn1pn7RRxECEovY5IY1ao7i7n+OcJB/aXo7LFHlV6z0xH0HbX+f+
vC7laaHWY6wP3KxW5rHCOaGxIAiVjhxJM8ErpcCc3dlA0RwzLxxt+EBD+m47zdHNu7fW+jNtgYr/
JZAI8Y/1/xaSzvjDjamcE5LeWd+2Yd20Dz8iX0Z3BbS/+tleByeg+lpOhZIPlDrxKRZ5cvQIkUGh
V/cXQtK1XVEbTFxbwz5NmuGxGNdDK67JE/WI0oumrDtq013nOhX1EXdFZrCL6Kv+99Swo58b0tYm
3HRLibyRLOhfrgZ6bM3jIDXqkBsHGKDGkWxsSPhhcdSx6EAMFtxHNjEVbezMQRY7D45o+3DqdsuI
4aDPGBvnxU1biYTMvSXUtw/ieyFcBMKvOhrO1IRIK58FI5TDEBGi0y4a0DiOyREpA8X9urM7Jq4a
n6RVmQjdMTmq0hU7VoOo5iZxpQIxD7PsxpDwC/aQo9aBDdbqozW2vj1wfQEfS1iCIxkiZIvK3x6v
I3LD05Kwpc88xdgIPpRZz+EYx3O4oC13+bExu90gcF3ySFux71pLC8xSPojYszaW0EOPlCOY1/ZJ
AqQ509ix7C1jHODb15lP9sr3ixfXLAhJFCY/f69+dcYa+3+s75bWJu/YJZMm0ThcazwRemoRKSvM
ZPdn4NAO7V61YabWOShVfvrxLv5nYKRcz2uHRJqW4SAe5h5Vgj81Q3Swpvy97orvpiZKIOvjS9nb
Q1iltI4mwg+nHld/jEfcOqgGmNMgO00GVNkEyQfz0v5ZLC5rFke1ll+yzvtcow9sgGVorJjQagn4
djNgOtuHOFcY9hJl7LEQN6HQ2FMzAhv3cntEfj4w8h1AJxAdgQZ8CiWexiAap0tukI6gFmMGhTn/
HhJSb2Mjf3aog3aUe5gJ1baXkPVJCncXV1uiUzzREeo6r3SV3yqFFwRWp7XvkWjaox0yHawPE897
uG5iWHcxA0pdcwHKX2Fhpcm6W4x89lMIPQet8n7HbfFdyxWQqPOyZsXfSGgHUUM6bVcWGdySNs8K
3LGkD3UzTg5I4N4iFHChQYbxnZrUl5UwpGy8PVVgEfSL9tgvrn5CeXKHlAZje1JqoRI4aYmR7hm7
8UK0FTYtQiuRGYEEseWIlPyRJ5crsLbuf/IGiC8qD7KPzvUMg1vPmjVgPsHDE8dvKOCM13odEDzn
ztHiEDhhSRwPcVNHm6D8FbKbuf/ZkazA4c/kEvD/eiBcWAmA+GP+6dYkvGhUH5bTa2GjWy8JsVU4
+BwzFJV6M+bF9kU6aHeLa0nWGHGQazNn9hjLD2UbCd1jGOuR3Js5U24mVkpA3ITjOa+2u5OJN/AQ
kL+sW0sJOx4ZcsucPoXkM28fkFx1QEnF7b/n0sC6q5gzIqXDKJti8sBDUnrf1vDWpckNYUd0t47t
LwcEOZMLb0STaV/dErU9/q1/i1B76Q1qb2vQYDTydu/At5wYCyNt7Af4x3k0sNeR5rGpHCPU+MOJ
QVCPxO3CRgA5Cpcx6fE1RREPJQgzZogHe6Rv/0OZ4tkm4ibUiKkmL3Mhb0wcd2QftaEmvV+u0XyJ
FA99VZ2nnALYRvj1uMbLl9y4rprT0ODM04dWNe/9HxcSpW6PvhZdRI8Tbxq3ptp47UT/LB071GbG
Mmq6IdDYQ+ImzyahJWIWZI/EnugjmubSe827BE6Q+5rwqaGT6P5sZvnR2sJBlqiB0rWinVgA67Qm
wBVSJkoMuKGyN08Xwh9IqlS8KxOyFmV1xUSbJfPOHlICci7zQDvY6gqPhqqfQJjoKItttEyWUXp7
Glakcahv0IUwu0typu/xLTdaphEVilX0Gw/EfxorV7hKn2PGT5QvscSICn/DxGaZwMK8q1dPbCMN
ETpWBZrXLv1+XL4ziwVgdWySAbJJx8hAq/juIUY3yixP3SqPSWd5QUxDpNswlkl3BGAWy6O+nT3I
ruoQlnQ4tgj8rczQjo5m7ghTPNiZVx2nmXsbuT5tkul9l4nW+0a8UjOXxkyTz+iL+QA5ehlNpefd
4yT7oCCO90vUXn/yWMjwQCW9WPox7mIRpICgwiJSn2wmaDEy5PKWinlvRCI7s0OJ/b7e0nPLWYZe
05aHVYnLFKFHpZ5khjeKIDbrcN0gDYj44gNKTTBsy/Je6oRxmK56a7Y/FsU9F17Lq9NrT1QIKIeL
6Co4f36uu58PzXa2yzSr/MxyH1uRnInf5fuL8H52smlDNEjPaJs5YonKYqiW6HsoiD5nXUuvYtAX
kldTs6Hevto24ueexCTjgI69olpokeJQ9NVj/CCI9Iq8OGzkeG0GsBB2zhs9rzcldOPHgLnB4XU0
zdstvX3lP7+aC/Lt0FA5PUzhpcbCkLDnIzTnbXkyK4w1/GCbpofuTeHbUM4wnnUhXVR9UAAXaeQE
0cK5cV/Nfjds0q5MHmhK19ASI0sAXUeqVDr33gJaYcqmd8Mpf42xvexSNa87raD8JeRP0iGbv72t
OrF8z+R4hikKjID4eI3yNIQK4oaRM1WnbvaIhNRN7Cnzm2VxZ3CcA5aJcubxHv7VDvkaVJ5W+gWY
tJ1VZPG+8CKurgJtW4KFMyx0g+Qn6yQt5pjLagY/9zYDrPGk9b9Mob3IdLkm25PimtE5ju1jq8tb
jw4ncHoyrhrcv0zL2CI4k7qOPdkDUXZYhM1ysrEDabZvagI2b2fdQz4sZ5OJ0JnkCtImO3kzu7Jl
IxFxFNvLhVdyQAgwv8TTfKWyfaJbc/eu1XV+6dnaTqbVP0vngKBXJgRzMwOuxbvLO6kls5DSUd3P
sjkO77kYjdPaA1lFIMYrF0+VL8XfHoiHv9Rpv+OkiwJgEJk/R9FzRwuIWbDvrkxEuyilZdmovsbG
JC5ICZ3HZUO8cwpugzkMNAjrXtoMi1aVJE+cExFjRcYYFpttl8l2A20ewV5/GuEV+z2C0h9POcPb
8rEuheANrAWd2UaBlffAe3RgEEzsEMLjFx9LS5yE22M06xkXlO4nuUf5SegUMY66TqxEzl3qMk1A
cTOm83WIEQFQmBTd+CvKqt+Cl5hEHqV2lj7Cze/YP89T+1XZxpeGN9IcLBCqJjy/7HelI2GpFSh/
09Vm8ivAzdOwk0dDZ70jFArW5a0GO0PHo3NL3mWemA4yhUzA/QjGOV80LgNn2lM5v3nESB718Vvo
2rHXjQjDKVqYFpmep1uPWcYPD75VF5B6jhOtzV4cFrbHXo3HfIr0cLb+RnUE6QXrrUUvuevsgrDs
+l9XR8WHh6u/6cuT0Sf5lxeQihYT5Qf7aJYV5FnT+us1xLVlPYjXgSDuqIzOaZLhf18XFypCczLR
HPt8A/FB2AzIJKR7hssG9mEn3w3k4t1JwJR3kbTfeAiIM2UglPTNxk9FGIDV0No285FXXtO5iI/G
cBMT0h1kpTuVpxR4MuZNtasIyjQpWLd1yh/by7294DczGV0rGLKgGJDgTtHIqFF09kGLZ97gJYlC
9syGCNxVpOaYSdNzR2bqCQkWKZu57B/GbHqMnf7Q5Ab+aP2b8b316I4O6ZHt/bDqw36KGy2YU8Z1
I8hVVmpXYv7wadj2vo9jkN1TdnTrBreNRHQxnppCfEcddvkY13qQeh6aJFE3AZlJ5JINC6cVVYrI
9sV670ImBo44+c6qzsvSUYCQZqZ1XU+cJKotUyIbM8hLrLuo2lsukeqDRYa7YTp/p/vVX1Lmf10Z
EZZE9MKuJipbkROz+IIF2iHK5JfRvZiO2Z3GGY1CumRy21+h/EH94eNpxoXEkKs2kbnk1RPiCrCZ
edGxUEbCULrHXGpcR7nP8JEOylrBwtbwoYeRpeOAm80gg4UwBXleCMX6ySQjti1zivhsi/rDWex9
aWOp4RR0WgxM1NQJXQeSz9rk0NAkyyasUr+9ucNxsn1hpEPAi1fqYlRA7tO+bXdpYny7zINbcdas
pfLjJH8pmlY/qxofeYuu2Zkgw7caRTLXHL4PxMlJB5Ek2WVZN+6ruL3R5XFJi6LdNenq61Lti5Ro
TlmgA+p63bc07LUlFNp0LZ9KBgXQ6HHydnhwBoBUjPn3TZOdoqvtmpixTNZGzB13hTeeRJccXLl0
YQ15ylYiPw5jBdCkMA5ZNLM9tBryoc3+sOT87GJ9vmld7O0Sno4mt0IWo0AeoybIpKYHkV6d0NA2
O3SWOCoc2I5xr/9h9WtuHlRz32clgxhjeRRZVu6XGx1OF1rpig7XSA/SXb/aFIt5HcG2LLLlw4ZQ
7fUd+xtJbI/Z7t3ZEYcx5X1OAucn4p9y29HB9iy8M4tgLSi60nf5I4fCXW5dRZ5fnS7IkLa/ZbaF
PLQ1Jj6JymmoC4dR0CkztebJLitYSAM2KMOy94Tc/6tFsrls7XvT9UiTGllH0KuCLkq4eHOijIw4
ueY4PaJokMcReV5ZTJe4cgHhwri6I9QS7xtKfqHVLJrZW5DVyf3LIOWumUs/1uLPzniqgGi9kmWx
8kTJmdJ6Ngz9kGY1jmqHu8gqBbNeB4/eIrwLujFzz0588cvVuJsq+6Mq1LhzieQ6CHhEZUZzbxnJ
biEMjIC37WnoHbbwhbGzIpR2WGt9IbKX0dbfXdZHpYSgHyETdfU64T33WqBDPCDRiDkTCg8Rmdnj
Q3OTM2uq+xnhIX5mOz14hn527eg9AW9HbgisiHhJz7bswry0kuM2xR96G2HMSAR8Rv2/arC/MBbf
lWomExiztI8u67FtimvkLP1B13lsXLKxEPe12qEt07Ds5uSha9Rn9rCM8o9Z8HZVTfXaDC1b3gmV
uvSMQ+K1d2VSEA2yEr3CsXkuwDH51TTwnkANRugSzVsYmwQqtOeBVXxqcC97rMKo59O3yLIzCg8j
3lADJ1tYQzhX2ztxoYbm7MNIlG4VeivGaYDU9uo6znASW+XubGmHPx/+++0GtrAVCC8rJSpRU23O
kIN4xLKMIbxsg4WfD/r//ur/99+BlSIai8YTfbvcJy6D2wiWfThlUN7EQp+p7HELr3GfBS1hXkcK
tRFJkl0+h1k2ENG3/Sr531/9/Pb/+nc/n/L//sT/9SlSQmFi2jPue/LXOGlaMNF9l1yByLp+rK9k
zNQDyjwVrXutZzxDiJZfJd2rnOV3PMbdNSVMwo9suDKydc/YX5mO2KI6SOTIO5vPkhMyU3h4EC4g
1OhN6BoTA0HF2nUcmBbOU3bhyQs4Yo3DoqhJRg8z0wxKfkiIzYGvjv3fGNhUMuawWNXeyTE9x/x3
laA7RseyG1cyErvoCx+Z7t1LjNnpBN9McMyNvbJ8myhOS3p4ZfRfcWaOexX1RK7NTJH0jFPSdCih
CJATnh6CS/t0OTpOkb2vFvOrMaJHFUdO4NDCb0tsbZx/G42tn7FJ7vWBJajtMBeCYc+P59p5mcnM
0ET8OKEoMjD4GVtFaUfa21j+E71XPs/656CrvxAUkv0qote4HWyG6jDw+6EJ6xw75Qj+DPivITHN
B3AF5CGa6eznpf5eVXZP7cI1KPo39NDMpVeOAuUWD5QL+OQRXiY6iXmpPt7KCPu7dkNFZO75pl7n
zg7o0lM+Q3Q7w0j/9Awo7jKVLofFg0cGs/Gl0iB2DPOs9rgqhx398hU83ac7zs9LSeEgLALC5hKD
Rt1Ihi3wv9xkNIMUz01omq0VTqNrhbJ2Xwqyxah56eiWEiwS46Jl7yzKPeAhfCgwTYUt8W67aLRn
FsPfcJEi1u0bUKwnVbJeMgZZTzET2NaBDlcvV4Nd9R2H5tj5BRcNRNEt3bf2Kj9ZyqdVjc+J5/as
140JwKqz3mk6eZR22RI6pMiO7K2NWsK6JU8Zp85eEQDwsvnqmKWX5QaDgKZEgu7JhVhwVkCQhryc
j3Lr8SYC59kfEKoXd2glvJqfhR6Xxlk66zuNIvwGT/djb06OTdSFTZOj+V7048/3r3dXuLGMUBbx
wLacSaay6bzLdyfPH63FfMxmdG/Jm4xQAbmiEcgSGCwzlL6NGfWOwfjp5y/yrItp8z1pMyPnxNYO
AzODKensI7oNhXWVWaznECDQYRUKYVmSieSRwpWQUDcpKzAtoVhaGWzV63OOzc4sHrIqC+sSqJ+Y
mOmDriAwdKdZUei0Gg8O9TAaV7r/3DtQ5H12Cb2ghIZQunhtCHcv74p8IVcGYq3+PixgpUwvIv9K
v+CLDIbC+VwrDK4QbzeW6NGZo0+TdDm22Nn4PJnJnVhJOxwTPNAWKzNpSiTPuC77MfogG0ccHJNs
xzZVn3nTKDb+zKMmclX9KIO16opEPNdWixPdCTo4TbcRIcOdaG0iTwh2y2V6qxI2W+NavDmu491r
BfU67YPvsJFiNe1m1zLPjkKDAIJtOLnPBts7LVUqAq8MwaXJS7142nFMOzaOncdIqLXQeCdXfdRp
Z37ZRoGhf/0FoROYrnNbGOXEbBwbRB2HXiVPxdZFAUGumUyhW3DZPLB3hElVzC9uwZyjAKq/I1ec
bPvG+53hPkDNBR9UJ8s3NLbHb7AY1Xs9P3Zghf1GRTsnRrOhSZhuCSrSjbOCT7fqHyCas7dqsves
acw7bwaijpuiDVdn4BYrVbxy+hmcf7oNYChGBzzabB1gYhSYV3ar8oiLyCy80Whm2O3MnxNOqtAc
iYj9+eA1UHRmg7lBk3b3lT5Ngc4mgggE71C0p6pYszAaDMEaoXmadOs0bAuNnw/jRgy1hAb+xY3+
h73zaI4ba7P0X+mYPSqAa2AmOnrB9JlMQyNK1AYhURS89/j184BV01+Z7qqZxexm0YrmV6REJhP3
vuac57yMyWjf4TvA/q0jqBH9+CMDZr5yPaTOVTefKJkKaCytTNq1EsFznlEo4pzAKMzA+mh3JmOn
5Q/4uowIWzaLXRPlR0tEL3PJ52ZNv4QfiO4k8qXpqXHxQeD4+EIUADRWy5lmm+Kn57otLCH1ompS
7Xhr7L1KsvPs67OLvum1LNnglQjNcn/8XC8bbJLnYa8PyQ/kUuGhd0vz2uNlXzudYhgYGQQmrrPZ
j26IjNvVaMCYMJ1EwWe2G27NkT2ACV6ndPNuzTguPM3Gz4l5PZ2EOtlNZF+9lpU2bMr63QV0v0p1
TyLzAORRyC9Dx6LYNBFjafzM10RV98zP0x2KjJy6rDtnfPe1lxePvqO/j418ClQ4v5I7dvKcYXzP
ZHT2boOew9c6Y6c9Gzpig1OiTnaB47C1exHhtIpnPZARygR/wjIwgxlfeaKMvojOe5WDrn9MzWcn
LFZpbt6CVtl0SwMc01z+9B3EqHGBlTau3Xjj94LeMEewJfGirC1Ixcy8/fdkVuio2xlKAzJA+FP5
GUQZoj5r9p6cRQKObdr9ag2Htmxurakf7Srq1roOkgMJGFs3qz4xo2JxlS5uAcyKKOO+6fimxih8
zmuLMXoEOZilPk8GJxvhd99EWgcnvIrkMLay21JllwcdICpJiuKpQCMHVbdBX9yYtLPV44BsVHmy
f3NbIOYu+97nMiQpgMr2TueP9tS19741b6rJyo9xZPloBRB2TVUZ4ICxMEXxe7RDpzwELjNYMb17
kqyUIN4V0Lx+iio8uDWSb5p3exsNvFBeJ/W1cy3rwFHY7RQKiyc8X/S5eJredbAnRqPcz1S4ayeY
u1MQahwznXWrNVLtsWat6Nj2veiK3VQM1bknFfnWkQazS0TICJhx29m1zYcWuTTy5SY/B1XCdjVm
mNrXpsuZ3lmvjZijbZQI5+gsa4qPPzJ6wmPyeQjb8ky+YHnO6sjeuCXT1V8/ZJC/a1o1rSS1yqTm
4ea24ZdwwuOVuWx4CEh5jF1fr6XXo6eqQDqlRrXYRDxQEWG7AirlcN6NyUaPJCclvt0eWqf54jgz
8el6ec1LJjcqsdR9lRifdEe4DHOAfNOGPy3HXq7I6YV1EOw2QrJANqCW1qyDO591EyUrOLsyQeSa
zscm1P6lRw8g0+GI4DS5uU+DvaQ/6Zyo0wJkvPBG6EW5tWkG5JiYNyiJhWKWVC6R5xzGeyPL3c0H
beh3PsfbrwkY/4Z570aAekvUhTb/ahiE8U9svZAgGpXAtvj7YIwu9NOI8LF4b4sGE89M5Ch5bsdI
tN4DL9e2YzZ1TJQEA8HcZmOrCWCYyeZ/zjGlUEohZk+nKEXREr/0jUuBi8f9GCWRsUe+ksEctLPk
bijJIf6wQsk0FKuixlAdlM3eHqP4OFHCoxhI7ec29Rq8H511kgk6/MKCKRNY5rxhnhTuRem/pgRB
n4FuxAfRyWvpz8H5X3+4Wd7s06B7hqrDXktRJ/Uo4AC2QfuYOxgPpWk9do7n/0NihNJ/fRldabHv
Uo5LboRQf3wZYe1Z7BgAA7WD86PsA+u1q+N+lcgY6lYCOyYgA+rLDFm6QfMDm3XNGF8+onbUyEHS
4tCpVD6yf22ujsKPjoBga6sM+wvD7iceXMw4nfNsTo1xSIDfoi8JbmMS25CdUjK4bPsttermiDg4
fBDYEJFchF/TOkVTNM7ZiwVNb60KiC4c0c4K+ad/cazu4I5TdUISemsFPj3VVIeWvTP1WWO9uIr9
+d+/3eRfoiV4jaRLCShsbLKO86ccFsgIfgG7P9h3wid3Jes3tt/syqHgx43FRCmpF5Z+1Z56Eylr
2EOWFOZukB2sYzVd/Nwz70M2FM6U1vsPA1us22qvA+3BjImD1Q9dZsHV3cCqnT5l45IWlI1rP0HL
aPjZK8DK/skgiRQNz9//bPy7f30T8MPZy/8hF7bU8t9/FzKTgyXs8n5G9g7s+oC8lPHpdihk9DXE
f75WQUE6kOIXwfZKbWXVjHelERmEp1jcXcWScp1C8CYxaJOTu3dif9rDfOjMT7UH0MCpM0bdvK3u
mrlAvMLG9gqkF77Tf/5/iQ4vjpDtZepARRoiad96jkjbnPLPNmzGrbtD/DMeceVal7loYKMGpvPq
l9khU2zj4Ke+mG38GomejMoy6nYpDpi9cjrxmCIEBzzQI8QcJhuJugG2pbKfsEoA3I0hkYLAgRJa
eNaqYm+yB2t1sCVBp651EuGtdgU8mcByn7j0jkjLO6hKaXhfenZ4oZnlQPDxUhJQ4J+aKv/cN3b/
3rPs8lX7tegmwJM2UlChH9seHQMkrurO0q16Kpnl78pszI8uDfXaIPB4nVXI+Zyut79UY3G16lm/
c7TumX76J9smEduOfP+u7dzgOfZVuuksbV+w2eG4MLI9psuIe4IZZLjl3q4JYcGiMmybuWxesb25
2A8PPLv4dwevvRcxLhfVcx0Ndfkld2yi5xApoMVSxzjU2b6V9bTTLVLMPhYwNIsWIgVlRugX1uvf
vwvlX08i7TiWdqQnAPdbf37CWPBEhsSTu/cYmO5NpMuS0ebZ6T+nvbhFjk9ccFDbG4aJ4pQCxmHk
lwR7JPR0/O7Qbupl5xiZ4nsGN2tDBEiwc0z25OYEkyybpvXsYe8QDU6BblHVz5DMnLbJCIBlBtnU
7kYWHvN7P3xF2IZog+noCjj42Wz5zNQdwFGwq/yHH3u5p3693g4/uNY4eVFT4HqzpXKkZf454MnQ
lTF3woFX7hRXELPiKqYoWNmpEV0C3ZGRIrJ9HuTPhfCQyfdm90xHczWGbkFhNN2tgavX9Y5g+6OD
s+Gn9jKslMhk8CyXPervIOtRDi5CyHn8ZuH+u5MGDkCCnz7xEJVrj51YUjcXW4bHBbrBOBq22uiz
n3YqDa8o01vCSRv2X+uZddY/vAT8wP/Fa2Ar7dn4PZg+WkuGzO/OH6c3SxzBVbgn9be/Tmngnrta
si8TX2ynbR/mwA6PVRC9OQrthorKz0PkE9AQjNslcWYTZF75mibXtree0ilBxZwJ+UzkNgG6OTwP
LpGTrur+sxe9+sgUbv3Qf69G09yLasLnBiPqRUKfR5HCk9bE+FWm4tpKH/k+a+ywSF9yFm/XOao/
G4BNVyAE42Nj1N2T5xx9opmfOyZC6wrc0r7riltamsO1ZoVMhsFE8EzTIzPNtk05oQ7X9kszxfra
CqWunJdfIJCaa1tYvE3bqH1EPyTvYQ1cRNVpWsMMe8hgnDtcRasZFOwmGuby2rCqWRMLcf7QlnBm
H5qUlr83Rxd5SDU/ltoCBFMWp66qH6VsXbLsQjTDNIOlN6M4Ri+5Y9d6MooSz0mbQwzpNG6KmSyx
2Tu1EMeP82BGHHnug7a6ZGfYrbkK20AROY0gFZtiUCoU6E7p3gvdGIiWkL+MSMu2zD9+OJMH0qZ0
AAK7Vb4ioM6/pZl1ZeKQ7uI+rTeli5K4yYN6E9G+b0wrA4rtglQbLSPZRiJZgmO7PZJT5HsRfbk/
M+zWVpBAMB/iE5pu2CsGQ3Mduv7GqkheUoTQE25NcUX9R9TAnRFifG6+a8h663qekHLN/avpyGY3
h4hQcEZS+3UYHMsckkIf0zfUc/izSsUN3ebZQrIFxJ3hKOFpOxdhzl1F20XCTudtbEfLzTgxcIkA
6bFaz9ECOqgtpsh8xmdePKThGK0Gm68MfZtafXZfUIrdSYe+D4WpfZ91EwuekuSTvz9ZLPGXNLCP
BDVFsoGylO2pP5XIoWUwGOodY8c2dQQMF1vX1CHKGUW3IAZb/ehpoh/zMvbXk9Wkm5IMCbJBrK99
7gTQExjcGTFcicLzxltjiPDQeVxrWeg9a8+N9jXIgm3vDNZeSvtzS4z6WE7ZWQPGuraTgXSv6ps7
GabtBRLwytMuUY/iNoZJeFvWfQ8UpHgrLOFsohzVr89y3jUFCSA9acNZ2/N1AeOU0clTbiGZnO0C
8UOvh249YJU+a5WxNi8sENle8Y21OZNql4CQMCxR9/N+jLTlXERKiK204WOHQx3fTRbW7WxqP2eD
cG7ky2wkbrPFp7clujAzuubNmZpD5KG+tYybEN8ZX/T7JW0KGfV2poi4OFS43CTDsAcegv7EjtcD
B/Jm6PlXAgGJ2sz8eS/t4NbmMZIbWjBWc9MB7oVef/jgtXOSNmO91C/nfcbEBrTX4L1goz0nUwWd
Qj3kM5orCm95DLWHHbB1wP5HbKSzwJMbhQ17SZeV1ySnNEeYdI8Oc2WBDFtkrsc6RRkzYE06kQJq
bpGxL6K2RQmBuBq9i36Ocd4w+XKzde+jxYyTYt57blJdIvQgM9iKjQow46GSjIM4e/MShAEEWJOX
5YuTcPAqfrxj/z/m558wP5Zarv3/HvNzjvL8vSnaPxJ+fv2q3wg/rvcLeTmEJVJRSAucz78IP57z
i2CBu/hzTKmpB/m3fiP8KO8XCceHRhqXhie0wxHxG+FHyV/g40ntWSS3aY+/+X/8x7+/jf8zeC9+
a8+bP338h3bd+tMdz4bI4dlliIzZEvaj9aceQ0KOzlqVmwTnGEUITLN0+lqeCsUIYjM1bkt9W7by
3R9ZpcGucVJX3tWM/hwkR0j2CetmpvYDtHxhfFK+XbkvQ4mC6WcwIez+NjuyN370DE9qIGUNKmM5
owYZAV8mQCZcm8VpMTrIBqBipM1TrR2E0aZumpdI5IsttCnDbj9WeBr3YVBbxRaTRe+/6bAb2Zva
IhCL+i29JoYrcbsSh+Bse4gBzD3MbgzvO8+rilOVR8TEmm44lTjYKxKd7dTFDCO63sfwGQP7WqOl
z7+arousvHWChNSnVNsFGD7tLQVLQDmwS43WehcTdjkuKGMaSe8kkO2OqKrWJtGXDhdhXofBfUpB
54TXLleCEfmwDCIa/rWYtcQhhMTAnDdOdWR9yzhUw0No0YjdmU1qOnfVwEaNtO5sqHfQgB7VgE0x
ljMroaJwWB/KSZTGFhlS8p3DroMDprw0PLdBv8yauUsEhTphupih5pCUO+hvnv+aZ00TbU2fpuOu
AcZMHFxkTUdvWMb6YO30EidMbXDr5tAZPsnBreTTONtW+IZxSb2xJyJHnlzTZtckVZOsYyzR0bbV
SvNXadl+BZTb+RvpDf4l89qCdZ0vn3NLh3iMdR5sqhge4KrLzYKJ7DAyk1OC49ROJRAaTIxoTKyC
lIWm8p1PnQOIY5v3ZTs+eJ0g3imk145xsk4mqA5icDJYcjjJseI1QpUbNbd2eZvHhqFwZE/kKtRV
A2qFBXuHVKKJi2kbdiE6vLuIORuIhcpwf2pnAPJqeOBB6UbbBMEFkSLZeOdEFLLsNCL6n1OG93BC
Xgw0e6XKcnbLdW73QCo6rxmcu14wEtvF7lBBLkpTQ2+YxWbBJSi7SezjqMnE1oYJal5KPDxPsSq5
TQeggtU5XSYvZwMTmvOSa4P0m6lirn/0OVGkWiHI7GaqGIbmVFbgGxqiGREAbgi4iTc2bfURbKLx
pVTZ9NQ7Uj4ytQkQS0d6hdJvuJnOFEDRWNjVrdZXqzSx3IxtGv1IlUiejboZdkMuwp0WQ/S9Qre8
Gw2hT5nplvuiUT5AiSzfiXJkRmLwMs+ujYxlNvN6QwUhT4px9TkKKhMmJ5ceHn5j7UXG+JzWtkD/
5RanzKkccL0mGZjwodYBA8+jXyn0yYA/n+wqoGlo9bTKYrbbQSfFwfQD/WKS8sgyx4v0pZnlOyuU
6RuKzhq5dK8eim7wH4YerEtuWflDmfcBr0cTroawbx7cJXqwT63y0JmRxE5oNhGG/SX9JR35xLSy
sR4M1hcmfNFekh19sCcelbQLyXz2omKfuHG2LAxzf99g8sKEUk+b2rCD+4C4LCyAhRU/ppyQ13qO
86/5qBCBd15ws+3a2TGtI35KO+02yiN3M09jvW9q0exVV+YPnuR0idgQn8FA9bveQPgC31zfesYF
30TEXqvqivIFmWCLqC5GNZBDMEuduL/OcYB1KDZTzgakRJrI0RvKEQa7OlTZJcGDtA7j2PyZmXH+
VHdZc7EgX3l3NgMmG4NnJg6qmY3PZjk357Z3ltiICTgTQQFJeQtl6jx4vZ9tp2kk9Edmzjpg7L3J
SO/ZxOjZWFH3EneOSe67iHnMO6sdH2e7gu7iSwsRhY8Cop3Kae8HwKtFOkAAy1wQGo1eAq4rGd9F
neOs2OTkb50lYt4hJset2YVPfVHbl3rUzYVNXrHxlwmsiErkDVkyHkRJ4IdKYmNbhlIeq8jCB8RY
eO0i/T8bsUi5raZ857akQ/mZ56xzXztv9QBpGwdZdG/KeNpmdcnGSshyN7iFjYwEb5Pr2PXFrVtB
CVuGn/wmnc5h504bIUzwCPM4AnE1YpbomTxqN0NmsAQFO4TTr4lAAI8fKeecZpP74jZdvBvdWJ/a
cEQMmfTmTszD+EDGeX3hNSDOXeawxJOhKHaeaeI4Ki2baDVQ4J7v4uPGRndXiLncmlkcrfNasebF
63yoRIHIwfbbC8Mz1mgosI5hAvQxTNl5tZybID4ZMiBSt/YzwNQz695+O0nwbVwI7m7kiYaEM/u7
qoRQ4yszObdTLX6kwVBfNC5MCgA9QE4qaI3MMMLPzybNyFjggq4ZCXBkMMd+P151saw20un4jU9T
f8AFqpEkdPlWSmndGyY+K9hu3meHYEj8F664Gj56Ai5MLFNeDNOubdXRN9hI8nhziLYssdKW2wK6
2rStQCL+DJUZnKzIhHqLiuvRdSfycnVnbeKhUWurZ1MWZLMEXkeWXzbZ9l2WefGRwKt6Hffkv7oG
+QFGl/UXOql6N/uk98EbARCCHRDloGQ0GjmE0ZuAgbURUoszXx33UQD+l7Tv+Ng3ZXNmJBihoabZ
DCPyi0cPeYos0BZ5XY/VbU6H+RSgR1wuXHprB8t4ZvfEplj2fOhipET2TIvmtGm8dry43owWT0am
8mnLRo5cD6LsibWvcR3GCAfsfEC4EZvdLhyy5QIZihM48WBtBTh4xtLiXZot6nlkMqskBpR8N+g2
3sQMuVdlTUhqNHXdI5ZYY6WzmeQKq6DJnaJ2ixKUX3s1L5oQjplGohJwPKIwteeP9Ht2t4MyBRlP
TUnzrajLah2bvdrlpDXBGR/Rw66MqgwfejstDwj5UYD5aNU/l10xb7GrlBeVomIAeqqEs46BLpFV
nTQN4IBIwTgyowDLYmjZrt6zsxjme4ZPM2Gv1Wy3z6Oa4alRX9Zsz+tyOHOpp8VKWiFFHMuiFFN8
BUVvGzPBQ/0FQhDeY3lXB2T0mPed46rvzBGUmPP/N13Q7r24fMvem39f2qu3okQHGoTtf/zxQ0r0
37qv9bf22x8+2OTMkqaH7r2eHt+bLuVLf63ul8/8P/2P//b+8bf8Y39jLUnkf9ffvIVR8C3/A8DU
+vii/93eiF/okVDnKKpgd1lS/CfA1DN/wWRoeTQ+muEhg45/tTfuL9AeTEEUuvzoff4FMFXWLzbk
UsYsyiJc3v2/a2+s5R/5/RhXsESTTHHRLrtUvKb80wgTecqIgqSxToZvPbV1VZz9udfHQmriQLzv
vAHrI+HDKCDS1kStvQTAV5govdm6fHyEmxZzQ+o9sB9SOECyL1Uxw8VYPtKkY6HXCrEylcGbysz3
XDQPhYHpLczRHc9WmZKpioFeDNiaEUqcaCv0XUOpyyiAwn3SGVOaKq8ex7F/xZlvk5nWP4LICq6i
zuUn8ImU96PZHOnhxkMxZFde61vTGuMji4Foa9uLYQlaZXjHXe+f2njc61A0VyVa++Kbu0wEwYOl
u349TXBViGOBozUP4TebNVc29sMWY7i5nkYrfyIYAXEaN9CG9Z46tCE7Dc+R6mE2uwh2vA2rVRhP
SH2/Sd2YDyOSllOkDb7p6s0uKOacTA07bKHdOs5oVyoxfQ1QfCAOoN9zYs2oPLPrLU3RiZLFIOUE
k8TECfOEjmMfVK5379K13aXcage/J1GCXx9BgLTYF3fqETD6EDeUFYf3ruqZDmn23O10sFqjvxQd
mWYqyN8nqyMobGi8J3cmVFUQbt5Dr0cPFpvXQqCUHGqSyqI+SfBfNf293dpPNkFJO6EyKmXbyq/o
d1cJV9f92KKbaSJ8fs14zEMJO1337haRtn9hON0bQX2LiCKaLSNaeTFBfMKQzYqfDt9MYN8AYPmn
UAcPDFWTc+b0RH2S+6TRwmAMbS+A3MaNgR53zQ2qH7zU2vU6js9ha3xNJ+6YtvWqE/xOKPPVC8TG
4mT1gHZCs3wcKm9YaYdwoQ/O5cgSayVGRyDtCYBdCGvjAs1eKVqmW+ONwwr1Kum2OUubSV47qxyO
vzsgfhsw/H6gYMk/P3CK58zlSDBdoZle/OmBo/YZUr+e69NgOyR8+9RXKPDuZTuC+umic0ORd9Ay
emrDwDoQnvqKsLxZh4TKLdpEf/P33w/oh+Vf/N0mR7g895bFKEWDWfY4Cfjvv9tiGFEqSwNH7ckL
AJ6kSRZvtS5R8pYL3jZTB7NPiLGjo8UCb3/NLNN48Et9qqEtVJ6sPxNhhs+GnWqbZjgFU5ZRcP8D
wHHDvY0NKKMzeXX4vd01Mg6evbfS0/hrsW6f+g4kkKWBFKFXtnc5cxAmGuAv295Y9fiRGxwXZ5vd
UFWQUNR2fGFgMxAPPJbyAd09piXd4W4xgPnobr4CETz3XbZHOukcqmWNBAHUSpVNprKMGNXjmY9r
kCbKPLApyb4b/UyWlG84O9sgqlXN8XOA9meyQufk+A4aDQp58nIseFULbMiwgrNtkYKBOgKvKM5S
5DL5k5gMckuC6dGt5UZDJcf2i8hQNkcIa+o21/4u9K1wpZGFbj2vX7dxKZ5ZSxRJvlJQ2Q9WMDyO
NL77cCG1BXGqDiocD5bhkIo5/MxwWe6quPtk1TYPNwKfVSWNHvtEeJlyk8eYrSGOv/ieGB5vI7PX
LGsDli653qjUw66cWd+Q0hIuDE1tl3TdZ2dZzMJ4Tw7xUK1LBMAHowV3QoI41qg2pKxtECIDXwak
aMCTYMEJA7R/yJ1uA6iayXdbgAAs6g1MZWKJ6CF1hYNlZDW48Z08uis7mMDgHFFqs1jx8BfgnzBW
bTivLIuFjMicCdSdcx/CMz31+MNcp2lOYcLKt9fEgGreIF1bvzquZbLIAXOfBjZGxRAvddviStYG
yAyKK2MVL89IrQ3wnECVGn/63IfRAH0i3ra9MiJ6Lo9Jl/Kwt0AiXU0EC6ceXRt2CDAzoVInFurP
/EzX2fGfFFUe5DLM4yRPXtIZb2NKrOXlI3hvyTpwPAgrbcheLfZUtBU+0DJLvPTVpAH99eRtT/7C
6gTtV7fxShReewpZ3hWu9O617zyENouIeEBb7qYI6yrfcxFDRdfaYrXZup8qzXsg9aaYGBn/m2b1
gFYHYGdphTt4QmjM/SejM3wSpJ3qrJbIgMxLHlHr0vkWYMDhnHhjzyxG1taq69x+N6oKPWrz3LTW
+Oji63MMbgBEVNN5AoiWo5Y44JnvmEDqJzla6krdX1qzPDRSvBmVKFfjAmdLIv+ZzfALaQ4ZmJJ8
V7PQZoBVFPdTvS6p5S20r7dUwe6akvxSxrWx9oXpbfw8eiE5Qa56G0cBVzGDsphK2wEKcoclQN6V
dbmFLehtwibraKajfIeaCvMfuKvWJT8LL2UI84dDYcRHFdQoUyqjIT89faAmQc5pmYoZSxVs6NE9
2uoCJun0XZVdvVcyuMW1RwNeAUaMqDJHJhC7SqVfPYMgoI+Thx3012Uls+lDA3eOrl+gnX5quqU9
L9mmjbmhfoXUFbU+mbExEseV7+N0FjsNeLH7Uns9Dl4LcSMcnUWyfoe7AkkX+8w1uSWb2Bb7jiXl
fRESsxsyEtsNpXoj2lRd5BsOooKaIVt3xBQobf0cooz3YkOEaRP+iNCRbj7UBrnv30K73ls5xknZ
LwmOEejn5YwrGW7h06bIaBx5X44YZCagth+k1cwinkQN9VfwdzFSNwxgBAHWZvu1zArgQ67Cllzl
7l3ci10y0SR5zC8P8fLkCjUdJ4F9qFwcUf6Qb2EKal+yzDexcs6jvqBocrYfTySCVDSgYXFxHOTz
DQVV3TjIiOruQio3QuKaNkvN9T1sO6bM7VRtuDigSFTtO7leDfBzQPROZ+DuLS9+bbk3/KDejT4X
B3cwLKmzeAnQVd9P3brie2PTyvzBruyvrBBRkvsyQctpnBT7qNNCHINfEh5a5CIrB7QH5r4edqLt
PfuptPd5maEanJ37qlhXVSTIC2fyjopBnEk5VuiAQmM9hEZ4Yvp1yNyZtUAy6O3UOT+HgecP5sm8
Vm5knvpcvhO4FO8TMlw2yiI3y/YCZ6sHPoOqxMdXp3NExS5ewy74kXj4JKuEIbxfFK+mr+JjLbsH
tnft6YMDz7BdnCISOqGrtxBIhXdI1YgQ29SLwdrbkHQJjG2wL0V+ScyIxTpSeJmlxyYV/gYxV3Fq
lVJbW6bf0G6QRWrLRULvBDcn8M5sfinIUru5x085QABruYyuwCKwbzWCnG6z4jHplL6bwX+sIL4X
m8IqLws67Oy6riJTcPjWtSTiVXAfUBC2YkME7HSK3BYYteVt3R4DhOYVW5k9Hs/Gb+EI4jTZw4ck
flPimzcMHkZlVPrg1DV8zRjKB+rs/t6Ih4cPpPrHR0NiNCvlwA7kqsnXLVfsU4raVs+zua80qWE5
Aoo+C8Y73mNIunvOcisYDzE6uIeAsHnT3EnX9T9nJYjlqQeKADnuaprs5MFbEcSg3W/gvlOgE0uQ
+kRb0jdImllzfJrqr6XvtZtiOWCj5ajtAqJW7Zn4W1zN0cHqpi+SUce9cH3816W1HRohliCGZM0c
kCsex8UqDOEEu+9Jyr2dCAh+TU/Mr0fVlFLSUrfUP8C0MFZyrEsprWe+nRhAVPQ+BmZ76219gJXC
b3BkSx8E1SfsGfaOGcKS4OO3u6Fq5nW//NqRH0cXBmwvyQDwlKPIxONF2JZ3aSvjULBFVjL5GZmy
3IfhtDN5ryrDrB/GEKFYk3AZzNZbQOKDTtwK7pvYgGglhA6va9uOIOR5cac4Zv6aG49cXcqGQ5rX
5s3k2N0rgBiAsAk3q8PUOWgve3UgMJyIcAKFVeWPZY180sVHuMGyUlF3lnRhLI7RRAHWwGh7kWgW
yGqyBRz1eiu8QH5qHGaBRElFuHZuGe6jux7MxhaNRn76+IM1yo8Cm+5WGCENWB1MJyAgQQJgL+48
BL/8DSsx94euBQdBQrPPOcxPwi5t1Dgkc/I7ARLf/9pA1pEzPxLtGEUaOlXHvYzdF0PxPHfriGpw
bYKygkIv1cYPs3EfYhK4i10R7Hsf8mJNWnU5tO3aKVmjsCwgl2ay2/2cAQjysWuQdD/wqUl/Zwck
TjD7ZgkogByBqH39eFdmkMkRAIX3iamvwD8YRVfsu5tRl1uhx+8MpsnMaTGOkhAstsOHAR/X3rZ0
qs+C7m5JVW6wA2ose1FhrbCoqm98Z3x7LV7YgJp+DXgqQ+IyQdRIpxCb/nB0lqO/dRv80V2JdUEk
B0B6Nm1ouQ7HwefekgWgR1wATl5ibAyL5Z3OSt7IvvukMFxwc3aODZnWPWBiZiYKFOrQ9PajNHDR
MoHE/Oe9jZ0wj6qO3lVUfKfFxfrdVM6eeB4s4a67icsquRtr4g+GZLC3HpDkr2hDViluH4gspsMl
x6PM/27v6nYq1raPmTyXqAoqsiY2gTjIvrfu+058tyaqnACWG5tCeAElCMUoH2ZYp55cO5FfrftQ
uXDoqa20S9RjATmNsE2RbipiK31FTJMavGzXNL1/r78ueYyXIbceJYMIw4IYkPo53ILCPaS6KF5I
VUFWmZt4bWtHXsfxq2jTjXwoWtsFOtbNu2IUF8BgWmfGHhkjJnP2ANuopvzgrpDHN+K3zEvaA4NR
HrahnJUne7sZ4gDFtW8Hr1Xm1k9JK55ad9p1XbUkHw7OveTFYkZfiLWIkR8FcY5lO4gtZHHqJ7+V
6FiV0EWzJUAsqA9qJqcXVZG8E01THHSYPXQVSuUIu4TosY7G9vIUeAADlMUBAMn1u580kjiPqb5D
03eykni6tPueOFJ4ihAsoebLvVkbzb2lxbnofDKvBuebP87Og/ZFhmqrpUkU2jyb1NzbpKK2DtSt
XWxCEe7VDRq4mpssUi9UuU+MOJEN1ri52gs1QHLv6kHyidfJkuE21Ml0MxnkWA6BypiZ5CrMwZDz
3nRPY3rWLDdOg/YILvYWdZ3S5wWm9ms1lwsfR3YcnFMfL7u26RyMmuFBS+3OCFwCUQFyf2+S6jDE
qGw//piJn1QqufpYMDfgbwGhsfRxncLc2zlNbSyGHwmKoePQUzgDXYD3ExqPQ94Vp6Fu+l2zjN2i
8n9Rdp67cSvp1r4iAkUW49/OUWolB/0h7G2bORRZjFf/PezBdzBbPrBxMICgrZnZanWTxTes9axl
8IWJmFqB4U3QeGsaCvNoVFN/bipsmSHWds4pNwZwmSbn+3fKLDZhn+SnwNbupq5qdEV+pS5UaP5B
muZjgh/pmflk+eh0BR0aBwGJLRXpXfwM52b3TTLyv3GvZLdRxM1GspLY1la28yKrflTZEF5CS5s4
2plF72wjzs+U+uCCfR52mIDaNXYBAiNyM1gPlm59SvT0H5RFNjkOZfHMANQ8mBMrCQsk/Loa1vAM
vZ1dhl/xC2PWiZc7q3SDjd2lPtmvtBG9p1CwNpDJh6z8TKXbAY9d+N6FOlZckrjfqxCFXjI9msXc
bCMSZNb9rIpzxuwBPEb2jCcKjZLMJDkwmL8gmmBptYrHYRl6GaN86EdCwzqUc+A3ouQ1GkvnVGpe
i5GI+JVTer5MVfTjMtiJ9yKU573EitQlwyzdYzw5zbrxSCXgMZ4+VUCQE0v2Z1HldCoNZ+ME5sEx
1Xs144VMHIcAM9Yd0CgL69b54UtPx75DxJIe8rgz1hP8oiPpscf7H53KbAeXG0xJY4E4aEzM/Vwr
2jSPdMNPA7Xwra5zmCHLELIm4fGM9DIEjWD9AMCerKiT8YeE7ELD7STK4Ub3tYrmDOJcOjarZPAn
6mXyMhgGUga34hqrt9lr5guQ2OzKEheDGVWacsyVXRnQxlSAL+eq9c90jqtLMnAsebbAamdYPHgx
m+0bSi/M9Yl3rpywWU/BsXOC6NpLUD1eQUiPlY7rzCeCd+zGmgRDbVHB8ychcsXyX/FJtX77WlJQ
HJox02yD5wfXa9kj5uFwJSkrhJ6kkgd2wS3WNFwpUqT1RrTA0CEBFvYqgRQ09+EzFG7/wnqFcAcO
dJ62YgT0b/4skdue2yHPlyVVTFAuTIoQm0KZBpAJRiiHtoUNe8i1d75/sSt4s/MwvDgIGM79AHkS
SGl3uBcgvoFYJ2oIE2pH8yRNAl7n2TzCW4zAX4p8o4gj3VOlSNb2m3kefsICfh49dR5K5JucqN8i
sieoHvBnWTyhdoH2ybeOYPHg+LV76R8Nh9mPSEePq7sHwiEdBb/hoWNf9Al5xltTCxaYQ/BWFlfL
jReJaRo9kIRgXh0DLctoeIhQYwuLGSeoylr/RiR9Sr3rP+HKmTfB4r8KZnbjfiLPqqkfmxgs0qja
L7ImBNIPhqubwCQPx8g+Ova8sBZfWTWjsyb76c6FZqz+RfsMdDCeM6MFEu/begHw8ue3E5PUyq2+
LeDqKvabXdB+NoA8z67rHYlhuIaRANGFyZ3U5hHYCIjc/VwR241ACHF5dbrrdfmQDaCL/ZEwKXmp
jP5Jl/B6naj8EifGQOUZfHOWFq8An76U0mPZO7zHBRuFdNuQZBbylD+VZ1I6mCmk9Oq2spg3wUFw
EK+At2Cc3bGq2XHQtCR0452glCbBI4Ht7TmWYmMN0MCHLU04kbFFrDm9pWiSUtOFpVdJ8Ro5kOxh
lOOpqCu2nMvnT+k2bUKD2DUX5I7Ra3bv1kwrlPfpDpAzdbP8NBUUYVORP/RMQS+B59PdR9Zlzlkv
TBP75Dpv5XUq/Z3ZDfbeCCAo2WTQr5sMKFJrtjWyS4yOd9LDtB0yDCK8j/JIJTje2pIb3WgABTWu
Zu06/RosV11bTqa28yvwHrG3R6ocASsenBO+jq3tFyku9yDdxAMHYdOR1ETa04p8oGZjOKXPjIBU
2H7BCNaJfHUH2pmx9ghkQ7VMjpCn1pFvweWNUR6jIVVNwaQugxWbTLw42Fgd+denNix5FyKmmFQ6
yWmLAi86Dr384mdifmhs9/mOqCRu5xM4aKgnhNhiAmC6pyu8X9Asf2Rpv6Ef5pklgDoDgA0R7Cqs
fCVjLgDEOQbEFBc1IwuaDCbDvzwCUi5GHhkvHcsdd4lKuA9TulB9Ye3xDOu938593h8KrIasn601
nEN44J9c+BXHiHdpJRtKK9utfsgmORFu1+86SXcBaNk7OUoD8onrQzALugGvFAjzwpQSy7yhXSKn
tYDuRjWzz0ekfh7YiL1rM99h/t5tCxW3Gwzq5dZw37MBES3IP4hgllc+kQS9A/5yovKydzms8K0A
Bbi+v/rUJLADYBqh3d9i3Q/vgXZeUQ6iOmIRlYZXOfXlkyCgtvMJD5WZCmgzzfqrbw02o8xy2Ja5
mWz6HrRmYr3q2iQRydbJGbw38jAwnCeu0y8j46yEKeh9ci+5rj1bqQepk+fWpdEOZqyRmjaXJLEY
pwvxUX3gPzTZTO8Q4l3vm8E4dxVhsPeJRCc5w72UastPoRijhSE7g/0XGaHIwtyDJzB1AUFi4j3X
RIV5QXJAeRmegp7Cj+OLGZcbv5TYnFZSyYg2JqpXrkQp007wAIcB4gMS+vrsLV+cBA2KiPT+XrTE
1vjkVa2xC3IQ2haXjjb9uWdqpIsduNiU1+2rc1qTbsZMoFqx5c2ODv+IDq24QJUoyDU3PrnIDle6
iaO1CWIcYQ42zpijWmvzKSOMbdPKX76hIVJ4/buENcE0w6Z7Ut6M8hESU95G3pkx6S2EjnYas1pd
WlDKYqqj05y678KI1L6q6pTpwRg+tUPymef/90ppuNScXOxLlIdDmzBBvNfg4OIxf3VncsM1pkjk
VzRfeQDanL3pqpa80Mbr5ed41v9kLc03VRH4yNSN0BQQNjVm3bANRpR+fuevCm22PMcBatrNhNph
rIrXWRQnZfnFURtkUOuxY/8bsmIl7t15owQ69GS/IivviX/ORXgFM8R8xkKM1w0SUaA/v7Y+RT9y
+m0Kp+wwoPG96bR4R9Owi1Hkvir7R+ujegJdIW5zqrB+JaTvWEmxyypZYZpnCiZJjnSdMtzJpmbY
YQ7ybFrVm/C5nAM5s9HsSNeNxvkLgjY0Wc4XWWXA6NMBEFZYkHSOzJJWnAIFWMq+YBl4Ei2gduaa
EtqBW2nWkWxpSTCwb5HLW53nYvw8qPBXmM20g0zdLn4/7gRH6RciP5+jlNlNVtbxdh54sPARYWSo
kxbtWk+J4ly4O8xrmhAMCJ4K7mlJVTsnpF/mMLsjQt1BbwWkW/eQ7+bMr3fpCAaEuLwvyPHxhoGh
2Zh5jgBmQar0udcwjAPkG2gqTBc13Q68aP217nL/HIQwku//Lc9M9qJizRizvLhGRdAyy8d1PdNP
2KRv+BIESEGTluIvV850Q8IMO8SI8SfnMY+TabhxH5IsxL6DtZgg/c7p3sL4mzImDdU9tI+hz9CE
nqjZsMKqr7azxNkE1PJdGZN1jcT0s1P9mEheYddWMQQPSSGIEwXBqosBS5Indx4HOkZD+U+0bwxh
WQHOzdRt3WK2r6Wrd/kQphP2R7Ditie8zdhAZcbDwspm4uCaoVs1qmkfITvJizB/WQGA2mWtnWGQ
OQVZ90r+YfPiD5+Fa93cDkFwyzGCrRfOO46LTZPM/ipupH4ZXUVucTHejGn+MXSlfo7klgF+sHFs
bPt6Jjm4N9NfwPIQ5yn5rbTEksJB3IkIst1mtNHHToGh1lM0RWs9ykcbhbHOY0ivafSYOt2LbcGj
oPnY9h0KcMBXzJuMH/BZYUkZJq7ijlZCoV2rjPaq6W15LyFyGQchXO80ttw+sTDP9DcJb5tBIWJn
Ox8p894bDk3YP3lZqpEApLySvvhhCjNi97BeVimuOQ87s/THjVmIdw2tdM3y3V+PJIqsSIlgfWDk
ePjqhX24q5K8fjfqxOKWoXSxs3Vag3ZxB3URRRZe49gl/mD5Dkb/BRlucNTu2ImNzEmtQ9/xhfSw
tyFiSuDIJehexRGrfb7cv7t/MWbgrj2Q3XJsEAeXRXwYdfxDSZmR756r+AHJ87Gt+gmByvKzbvnZ
0PakQtg8J9i2pmvXdaEXV14tVpIK7OH+RVikaxPMxkNi+Vk4T+au0WxIcOalgNf99IHSn+i8qLhl
Y5nilPn/P79/Z4rKpSZo3JXv7URiME7paj89oX+/2IFPh1aphf/EEau8aakhQVQapYHIbslHi3xv
HfUd3EUGwhvU9T0zlkycggCQ4hRw95iZWguRH3ojSym/ympjzYpUqQCzmkimeWv4lbkVVji8ZIwm
LyhfN6YInl0SJdYTmN4DwBqIS8z7mMXfCt5ZqKnDFrzWQ1IyIZOh+44uugbUm7xVov5VDsknCdmI
zv/EPFmzlJhongnRc/Qk941MGL839tkcWa0UEH79Sp+8qmA9PRDI9dV1+28myz+gYeZhUHvLbAif
9D7npsNaLW53TeRegolhMb0dVZsLaS4uo+eWPWrmeN0qAipAOhzXGaK31iMtonLRaRjYRWNEjlUm
vpVj0K7i98787rEvopOyT9UwettSCbY2fVRsSXJ5kFYJtKp3xarsckjRqVOgM7GW4JiDbcOYQoK9
aPe/zmZ+mvANrWYiXWC1eU+5m7PirVF2zv2OthW3w6oRzNagNrGOJvgxJLCFYpVJdOx0T7g84jWe
D3C8efdALlI+xp+lU3voVqgPUopGQ9vM8XR+8QjeWTQMX4Gd8ygvW45dhcqW3VwyOyu/5d8p8qUr
bA+ZQaxZWX3PMYmtUkdWm34GoW+EEI+8La8DtIYJkcmbbmPwPRsDkDlVvBTSlQsB1jXXQ5Axttmx
taIeLqA9WMAELPZ5NDnyxzyEb9R588rqnZeg9jbJnPwYIYuDxgdHJwBaJmDXCcf7Z07UkpiR5fvY
H55zMnuqInxid6zWFgAgLLej2rlNeLYQzbL4CLYtTvY18ptpu7izwErvAw/soB2bA+E8gF6zHyjL
2Zq20TLQk+WK2XGycSoIVxG2ARmWe7cu9Xoa2morOn3if/0y9Arwb6fOVjoFq7ZsG/ou+yW2Epxc
WAW2NcZ8ntGQT5zms0UCwOgMRDYZ6qcD6YeyfWdlolgNGqhMALbGh7VflnwCpYmedVbPVuOoXTE7
Oz9kkSQNdN3ewEYhwlvcx3oV9VGNbTv+ATni1jVMH21gqZLspq1wNMKr5Kdnm3yQsGtYVkI4JZMJ
w0O00SHJjaHX7C2nfGwZ8AD4ctnSF/5OZ+KdpeRX3tekfpSjwQXuclFVRNltBdExdmds2VrzjKkY
o9QtotKIhJPK4PMJkURsuxBWrZVhk9HtgZ6zZMvmsIQB80PnYgEKGQ6VUeW7YUpvrbv0pJljArwM
gs0iDu2PVjVkK9k2L65F2dz2O4CY0NWTir2h3W5KgO6buUCYlPM4HCKkwqmbruqRR0XkqUvUJNlW
YXDMsFesRL4uFCGAaOq2CfKmberXuPmyp8oHsxk6+byeDTKyE9Y6U2dABupLdmUl8y08XA+sQ0G1
mrPCZ1gj0w3Ed51nq8RUlPZZk7MQFuXaqH9MaSXXRc3QfnYhHhThW4UZJC+YpTRmE21YuL905CSt
ml2BGweuI9uV6RvKpm8ZJxo4KvB9MYKavIXjO4TiXU2MfEi2WqlRfuoGDIpkBHSm3s3lLrRI0PA8
fa0KVrVk+F1xWxZYKaqNs9SbNnriY4IpgAALsJ3+kO37+r1B8rIGdw8NY25fpiHBMFuipCRaFJQq
H6orXDIYsiON3ec0zb6b8UCuM4dxiXkiSIZ4L/zgdRrPSoZfLU6ijWYdRTqS/SwY18c+w2Xbp/Ml
260iuxIjs/VPXUWfOu66FKccSXrkI9jV/F4ExU8PcfYeK3XY+2QNN19h5kabWfasGuZL1UhGp7HF
MKIZN12hnV1v9DezLUgbwiBzFXwWhH7pTW6zN6/T6sK89AfqgPeo6oejq/1f/Rz8hNJpblVO6nrj
i7/wS+4W+n+L0zxP8h+TOPdAYuz5tzhN4SYg8boOTx0y+GTyP9e47dZoRvN1PERyT+AQAbFwFTn7
wy02Vbg2xjWj0d90mKkgCrktYkk33kdUR3/Wzpneb8o5D+Miul4Xka8H0fTfLw4uQezF7BJOaevL
Y7OMv9wADbkX21tG9Mzz8+AagFJZJlrEdPpY7zB4FS6LWUCVsMnmkBalMC+6Q4lqTc9/eYEf6C+W
D/HF9Xh5AUpDS4gP0r4+rtyuDaLwRCxvhnK/oZoo4102J8Ze8cJJ4xvG1YiJjs3/gL7JXeNtrh7+
/DJ+0xjzKjwhTD5HE0PnRz+3ienPiJAekokBmKeel4QHd1MVznvlUnTmy4dZx4hJAPP8Rd74gVLB
G+ALIg4DdM7CRCz9QW2pSJ2qUQe7J/BRJi6plOccdiMHTuQaUwKMCZe8z9ar/P+o4f9lJP1vnae1
fPb/vnD9xbJqcuUKGBH+B9+o6VdpVeaFwwoqUY/Ivk56wPgVtuaBtPT9NICuN9vxtZz9X5WHHcO3
b9O92is60tCN5Fcx5tlmCnrmb2BW2MF35zxt+qvjVN8KlyIercPf5KkfaSbLG4ZvVvi4e2wumY/y
1Klg5BNQGZ9k1zBfMebTsCgIKpYOm0za/Q0DE5uCBvsXXAGp1qE15xcEuA0K0H4iFo/e2aouUcbO
3cAO3wBsPWRW81TrWp87UW+7Bv2eJ409e2NE5POPYvC7/dCmLBxYTaygGXYXQFxo5TwX20Obop5I
ScXOiiuFt/n6f706fQeUCVo96EgsGT98UFVpK8E77Z465sakyeEVERh3VN99aSWVYNIwADa99HPj
kkb759/9u/SW3+2ZC0GE3SeS4H8fIABPB9TvrXsyhbsFLdruEGl2AA3CjbeMTf/8234/rnyHQBvf
wc4acGx9+G2ulhZRU/ylZMj/HKr6DY035HSm+5lZ/Brr8Oeff5+1HC8f7gGsv1JIIn18LAsf3tpM
FZDgkso5ZSHGqwQPPyXx3mxJfKu6ZdixrAiSirF/ZDzXS5x0aEmethVU9vvKSzWefZRR/XwXjRZ1
kK5L0uw2Q7gxKsfegTBbzzpyHqMW0pPBJPcvf8HvB6jvOsshSicm+e7DW1YmuJ8HQuHgMxv4eirG
92nb3Ew4RqcRF9MB5tAXySLMDdjQIajqVnhjmbEtcsSBaPdVXe7bsAMHak8B6wz36hv1Jwx70etc
voWOmvd/fsm/H7b+kgtsYn9fnPEf3/MAl6qYa8c6MWpgwO+w7XCgmBxQAB5N8EebcjE6MAqPCnH+
869ezP8fP2+uZA8kEGet7X58HnoMb/ndhXUaF/eAKmdsyz7KHSxgZ5OctlWIG+lqar9e2alm17Vo
apslxAGNX/+Xq/3uzP9w9WGQAXZlC8d1Hbm82v/StfciKSVxuSZ5uYrzalEPzYvm58b1F+/n+o2u
nBuO+tAgT/wvd7b3+60d4NJxENR5LGx+P1bYdfmijMWpFuIrM8Ea5Yicvjj+vpD58wwr9kE6GBOL
cFnhCEgV1PksSWL33UusAwQX83tjeoe5q5zHnhAt+vzEbGoYL6gZIlhYOGfT4HG0TRCelBh1aJ/u
JL+sV/BYHbCpFsZK7ZQu4G1WbjWa2ocoibaSOctqYTLsCgV5sZ1cwqKrPNikdvHcS33oVFCeWUos
R4ODl34VcoId7BrVLKmEYMBjC+lXS5keNCbPMrN8T0X0bM3EoKQBi8LBDA+RXvtcKNh4oxEskOXu
hxHCXFQbF1OScjYO8mCAyB2MIntuDAo3itpL2w8ze7GAZWdLR5V2gkx0v/cvpZe/6Ci7de2SMxSX
5l8ul//lgU0EDS1rwGOPBuJ+mP3X5VImdI+TETqnaLD9M2bjPUqD72nc+k+9Fmc/QoaRTWgGYJ6v
ppZ8xzItX7sxdI5iblguM4LF5b3SVpfviRVjToCWkWVJTUiGct7w8gIa6sgG+PNd5/x+xwfC45Sl
PA58iQ/339d5lPfIVqgBT3eZqIPGZDamXwQOOt+Lonn3jemU5453zeaZ4M04ZydddjcdLGzCmscp
EpqC+oszKyF3N0/WTJ8l6sFmXLPslMcsqpgrQu9lW7Xt2fLt7ZBAEV2za2hZa5nBF5kOyOtNo7DP
MmeT7yJTP5ljfbtXVjj4g0txQ6zAwUiG6za3EmbI7JbPdiGfoOjWm7z5BzpLdd6MecKmkCPzoJjg
NcMU7Ix3yBWYUgo4Xuiw+Puo7iXv8GMRjqSp4wY7VBqdFxb9r39+c/8Xu04ARgR3HAcqN/EdQfhf
V4VQbTz3Po+w3D8EDHseWk+rLXI2/EVBLleRLjAcL6pRcieqU64WCFSMKCILAMU22V9Od/O3R6or
efdtEwsRZ5v98fUQ2cXispnmEx/vcPRaJBUenuZKNA+JzSRBP2W6rNYeDD1rFDWpaijVS4/FWxJX
7aUDw/OXSvf3U5+X5GMdFK4b8LT8WED5s4Umm+HhyYoTiczUXTGjZ2HIviGLTcYzFvI6zxXTlXn/
dFxCggrRW0RLefJvSLbf6v3ltaA1NoVcilfnw5lf4M6p21BMBBKY+AJxJxxbrfYJa8DV0PGhhRbh
kBF7z412caYDAxIrY4B5kuVww1VxY68f8v/p7I2i26WZTNIzTI/3v1xXvz+dXAqKpSnB3ESD8LE1
y2WcjOSuDCejsYIVbknc4JG4oI7F2c7a8cAAFps5mv/HMAygK+xVxa0dJEV8MZJnOSfFevCctzhq
mmPTJ92qafziQmzBNSYQZuieazUWa467Bx3o+oUTojizscRwBObL6jiGq6ytN5OdNdu5Cr6Gpf5J
InGxJ4Y23BlCF+isavJm4hJBuJPaDBcXYXWsYB/0PkReWuu9RKlvt55zdJQcIdQX3lZbql3VmIXO
DoEXFsq0nd35IB9aUr970ysPDAsk8iA32JHAm2zA4U+P3NPAV2eIvbMTIm80yMi1nfI8StbC9y+1
hoHWT5UNz5UGpGKhh/pV6suMWxJ3CBmM84QEARRD51lv5kQ5n2bRW2EB2WtpcaMk3xpYrI84OH81
4B1OvZz9NbOXK6xlvSYQMXi8H6LEW2dn4fcvk+q+imrGGwGjBqXVJTGN53ahMEYjWgrS9a5R/ZmF
f4rnIAhObjMd7p10Eja/xhIFexrAEqt5EqzLOTIfzDzhGVfAzLCd8S81x+8Xv2PS6eM3Dhwpfmt2
kxKHDGouoLSZpFtr1vcauh62Ph7gnaFYIBAB8ZcLebmj/lVluY7JbW97NksKT36sN0nBtXQ/xs0J
cjru+cq+5l0fnFOjzAGtu8lm9uVeawImFlVWgZnnP3oFp3P9y59fi/WhwSHNklLL4kmIGcwRv91T
JdYPUzUOaYNIB5XnlxduIh7BDgNbZL977Bv20Y3Dq2F302bxa8zEOR6dygs+pZmxi5uBVZk/XJOk
/E4hwuDYMqAtAIgzCmqngFX+HD9J1n+bCmU2AdLNjky4bTWO1t9Oev/jeAmyseVK15X8LRYIImex
kv7Xs8fO2VTaiLZP8aiSjW/EJhm0jjiB3WWuff9nLIvm6f5dRuQhnMbkOHiwH8GOsEe9fwuWm29z
v8jBXBifxjGbT/cvCVU8EveRwrNxNvcfOUbF8JDRBXFvej5ZY8ZCQeuDRAjHEkQBksgwUDwScNWo
mWVK6spT4qQEOcb1+D/fCpQpRsTgGee4hMgKJcRx219FMBmnpILp57Rtt26KNnQIFa3ilSQLcDvk
sjjYTnZIQcGd+tQOiTsk3ZKIvrkY/XKll28nzEIsJE7l8uX+XdAmNJSiFHzFnUyxKsVT6WjMMhDW
dUjAWB6q6EAvmh9G195bvkBmM8YvquOhxSmGYk69FrpAaGzwFIitee/Fb3EROXtPYWdjl4Be3HCT
ldXEr3dn5n/sV+gFsdxFoMjBmRy7ibVMndvqZiTfTN2cQlmoh9mOKcAb8lgkNi0QVlV0KBZu3YiW
xGK58ZzC6XgtY0J70LKA7sxYFeQsWM3Jbs4BnqA9+dzZeiIb/eIVcsPsOdzVNgz65Rydhvpmw7xZ
1VHm73JbxweNUez+KtmBX0t270dyLpK18ErnRWeErAQZVwPtC5t5JEIboK36Ysiqu6SIn2guSKbp
AdmsG82sSZf9LQyVeE0jQVIq2uHGDkIitUgzUtxDwlCS51JbG5sYZiZqP/salVH+qAgJWFUZCix3
cN3j3a7DY8tYRQOrK6Mh7S7XJfb2Cbs8bi3QjQwpxzJGvCqNch+PpEhELe10QHTBrm3/wTsL23cw
Xwc7k6tMRQYeUEbyU+UUF1Qui9rJuTgZyrMIH8VeI3Ld49wyV4mmfwoUVGjY868IxqwtiMhoXxEh
U2UkJWo/Mdj/RJ+YET1itWIMZdoHP4/No1XYh4hmH406ABqozqcpGYgoXGWlMr+UhfPJLosvfhsh
LIXvvp5wxUNLb3ZG7zkHsqex8kUV+VVY/OsYV1/TW58RzlI7lzlMUoCrhzbeDvzStGvGGy9zpV3s
8f+ZUIoM2aHfPFcKlTpGsue7MXVaZLmjCl7JqWEpt8wyHUq/C+zhx8okX6Y0iG71B+RVfZ58Rgmr
9r3PZXR3F4cobG82LKG1kbjJP038TUSzuw9ak3iVGH3fJIglK1Oyry3uuhUuA67X2XqaUca8DmjE
V1mSx4iT+MdcdVeMPCanrXDRjTBd8LoBUUssx1vSUPXLPm13ReKnh1aJS+AY5UH2+J7THPPiiOFv
axPJjAs7hMmeS3793LxMVu5thCO25MJg9nIJikp58q79jJVndbQnt36BzBABdFEdyxObWO6ZDWuZ
L/ojrLcbzZ0vsJwiIMgP0MDJXx2i5dE7RYhtBRLIJr4wLImPdsop1BIUyHypAx0niZODTSsgTDr5
FWwWwxyP+mnweeB7bKiDSqLQw1lwHvZT9rPOkIqi7asvIkkWZQqGkxxh5SUon+hU9IVRb75lABms
lZfKnV/Z3jo3qujo9y1VphupV+radeWX9hMVE5aVoL2WujMfAmmkeCKeMe4UxG50nDFtO+ebXgcM
VOxxOPP3xye3tNaJ8Mdb6pTTDQVVzBUwr/rBUzvHjv2bEbXmY83NpGhn1xFizFOCD34Z4A6nXhmX
1MdPHLEk68SXqh6ZyZXDa2YFIU9KKNS6jh4REPsvWfYPDwY2rK30T7qg66GTVJGFbRMxr73XmCz6
sEcIdSM7t31lLG/uhJog8cRlfhrJcCzGEzEHHtYS/S2fyPZNChmtoxpWXYMs6VxV/nMrRoe39Fvc
RccAn8wpCxDBTYjfdwlr7ZWbE4nkNH3xVmRvXSvXI26rc4Ka/ND39YktY0qsI484WO4EE5U1ukbP
pqysOVKeDcKRa6IZPbMKHitNtMLYCHCCWfpkl4z6dM2NX9UlaCeBJ61DYX5MilIco6l445HPQYVG
lXdbMOgL2g5DEvq2NTVxgAVp7Dc5y+B91JHSG1XDfZtK4voPRgvtuUY6nay6YG+omrtZOA9kjP3K
IhcUX8w+1mJLEzojwGRUU2XEvhvhLIAj4p4rFW7c0n4P1QQ4u3OsnfYd6mYg0qju+RjSWmxaSA9s
gAecX8Y+yjEK4BabH1hJMmgTc0BCXBHsYmzLW1wxxT6cic/KAzM7N+JqdUI+0LagVYNP8zg0ZMeG
yFoXgiqEMmb2+1E3m8qz/AsCum5bOaQTIt0ierrlrdf5tKsUKDJHKjzny7+apXCyNhdaC9Idn5tj
fCFqhJUwR6jPGfSirIgQgqgbEU/cbEc6L4qjsvDa8jZPVbkfej2s58bFcNJnWHzCzifYUphb3kkQ
6B5ovHhqF8tIctGEvbJ9HdNvIvjkEh2edN5XF95G60BvxtNEuu849C+o1NZ37W+VJaxZYudb4QGz
REYUHwNDb1Vo2NeitGHa9c2NlpKUIXXw+2A+mmJjU0rRGI0/kHPgPizaJxjx7UpUpnOwO+8hz6IH
ixn3o9VOXye7Djd5lF+sVgQHqylAAUqkthH2RACGA+GczrDtktk9tJgnVnDFIZ7ZdB2xnazdiTGD
bvuYrtk9FpkyN5WyX+5rmU5LuHxGQ5QNiD0pUHDo3r3oUp2BwC1HqwRmk12Itm6OVtaxTg4jjNa9
thHmDSM5sPPeLOoB1m61T6LYvDi9e579/IfSafAQIguSDHj2em5uapQZf0ZI5EA4dyRfhOQ6nssp
qB/QlyEptmvjyOYZyItogi3JqTCw4Y8FEQSBKX2uAj++OtgnzMn0L6pxN/4sYVaHw7e7sxzu08pX
Rbxt5vaiiOVZgdx6SAOt1/dliF5CkLs+2yhlmpsRaet2TJgRVQyiAQZzcXhiOBJfE0O7M59qpiNp
94+AAY8YgfTK4JigKVnFYZ0h0MNwb5dY790a6/uwWBhxiOITbiSLuvg70uLxANf1hqK13ExpUyMC
6MITTR46eazRa1P5zSXEnrlPLOdbEkp5deZ2MSoRlSLyL+E42Dv2oeYqJhxh7eH1SUSpz43nvgR5
vc7s1DiFBVhut6IDzerhpZStOHd2tGGJOq31ZJcMi9uDie3XojR/Zrb3WkyWIEYTvcoQZsc8yR3W
232/nTwZPyAn2Q0z9mYAJd7F7MCJzbCdia93zC2mjPzEWLCgYXZurpF84hhvTgPDo8eZh7FE3nqU
fswBorOHbnaCR0YnboKAMmEjiMCSrlu1/TvTv/rJfboDTiICAG/3OhTR9C4PZHyh3pcc40i6DaWb
rcGdT+jyLFAXRmgKOy7O2d7Ytu6OiDxa6Il+/2QEw1GMkbjqzmhRwpNKUjtuti9j7zEVNijqIsc0
MyO8g1mAUKVNvpPOOx/HocOxGhTPjZnxQCuMFxHZZN7KNuC4TxGfOANm8CQ8BqOqn8slgd403OXJ
GR3Cmt819tnnXrYvqhg/ueYQPjMtQg9VZ9Zjj8ma8RCAmSltEfNlfnFoM7oWvE1Y8/r5nLRifrQ6
wANNMRjvk8wfcSJ1ruH9CuOUv7YR3+iHjU1j6UtC/DJBcExBdWYem6ykvrG5NkhFrTC1HP8fe+ex
I7cSpel3mT0b9GYxi0nvTfnShlBJuvTe8+nnY6T6Zqn6dl/MfiAgwDBkpipJRsQ5v6lymEetWXUH
DX7oxizsD9QBVJhj+6ImSza6Q4KhfIGWK8rHEDdQd7qBgCvECQCPkk6FXDQzi6HboePzXBgq1vJ5
egWNnW0D3+5JBTRXW0us7x0PmDNCC2riKt15gCMfclx7St4m28CzoR/3TQhB3Z3mDLZaPSrjof5m
Igqbz9IKSHJe5cqiBrK2q/Ii2GL2d/GKMVvp+ui+mT5om96cdVnYXrxW55kLK+1kjczKJdDvIfDR
qdf0s2P0cEA6zLMGuNROEDtPtgbHEXjfsSn0fd4N5dVAZPDatiAi2xxzsWn/IO7bDkz4vCvRcKlw
RFk3loZxcVcqp7DRnBdmH2dpDODhIfqshhxBghZ8LA4MTblwumE7Suzz2GG/4CWKQw1GdXNJVtM1
v8xrX6YGOTretm6I6KMDOjQtE+86ScrkJeD4Iep1BJq0/jGZTAi6qN2YMcRuwob2Y2y/u6OBAIri
PHbIr9x0RXisy3k1BkzrU7qgUaE9cbdBXsxc0ojYU/kVErJhGpUzAmdgrtJ+m8g182SpI1HT4oIK
13iZNawH4kJD4CKOxrWDguhSiTP9wFQzoA+hAkDK078IZThLsirqvMLKZi6p/YAxPawItze0VQhI
76hl2gowT7RPSDYh84+5CsZmu54ki22UFy4H+DccgDBHUb6uHaAavVxL63IY6nXmyo8pOYD9QEBa
hLfGyv+RtuRwHZivs6RxwwMUa17NqvlECv6pS4dTKcHq0lnBDWkVwnjExVqqfAJ6JVxPZS1hczyv
Jy2jKjReAjxIZ0WF5ZI7sZqg6lfnHHn+deo58KwUe8+LpF3Dr7ZXKsGvBeLS39W60ZAkazEsj0Hu
zFpveoelg/QsA1/2DHYG2GkvYls9kSzr32Mc1ybZ0zg2Wdr2WCR1wNu9PGW/hfliV9fRTqndXVLH
2d4uog+vLrCz9noYHTpZsEwjHyYkkmrws0tgW/4MpeR5QAjqhCbOKsWm5aqFLCTdsPwYfGdgqQ0u
yw7wFnITuJ8qeRcz6OMFAil4MXm1tksCg4BZZjQ7lsPBwUj2wnirL/xuBQnAwbwokICAI3NikmQ1
fP6GKSiqOXEL6GZ9t20sTEQDtz95AC43var+ZZWDcUS6+ICVKCtNHU5KMYTdxgeWiRu29k0Hcbw0
2VGwaWrHecvfb2OVLx0O8TNVY1pvuu5BCEGxNpJ58J0Znsk3mQmg5srJHYJZW/jlUTKapwLU4ryq
8f3OcaRmw44jJF5d8ZEQsttl/aEz+p3NHmKXIwHWgKxbgviNUNUyy70Vqmels6sH9ufcnhNBNglO
rZ3s7MjRz/By91mDXTRCWd6F+P2iDZ1iaWGwtKgtYJWD5BeHssibeVwWZwWp6ddmBaZ8lsv4HFcA
0XVYa1Y7VierMfZe6/PLIw+xco3sW1cyUFAPjQ6pzL5JzxFUIQRGQV8WsCpmkV2/FI321EJDhmY0
IHaC3G3oIhOGBtGcN/9HIvlw0GK1OHZ85tbpjBcpc76xVpkVuh2vodWyzCWogTV6CoEmDo9FlWDv
yS6zTIdboDTOTW2bWsqqUki9jgZzlzxFLZ02PhWqz4K3iR9d7ZeCGBf08GJgWWVsUAtXX233OyqK
H9h/Jysdj9alr8bwIxW2/T3S+0tolsrCrWrcjP1k48GOiUaUi/UW7Rjf8Y8wB3/qDQs5BFDBCiuo
d7s1jCAA07DV1KcId4qZojTmzxFJ1m/SqHnHDOe0MbGVJyc2Z5Vnvmut0Z7VIN6WshXvwyJ58Eo2
Xoh3o/vi9tdu0CUQWFiR1JFpz7F/srdBre6rxhuWVacZ31scrZfSYGzNCAFt9qIHbvnMrPotkWp1
IQVwjMUKLuPtqgRkLwJQx/yXHABtiDBaLU6q8AXXo2z95SvEo2BlQvTGYGbTDTyrFYhV32L/mnW8
dpxKe6u412e+N9RbbWx7mFVSunTkYclrAvfEuturAynQVsFzgrQm700AZIg/9YvQlTUIDkQl+lCP
F9isaCt34N5sG3DGaQadJSJYmYSPjjnRKyuAg6B913ahSwvwb/lck9yalbNrQpgJj7DGupnnjinS
O1CExrH/ZZmI841y6BARxO4bruD0Qq9+5mFQbtASgXrejh/SGl0eGD/OqVObbmd2ajfvNb9dCPku
VAXQTuqB7XsqFtWdSrBWgCZJFEc7k+DlLDIQdDE8hJutkigs2zo7zau13rHsxkm5MpiCzBY8L3Yf
xKuwIlC9DN/zOvre1CbOwaB/ZqWJUbjNumnrZ/W1qx1tq1UWU8ogi6ApkbypTS6Hg5Io3kIz0nbl
de17p5f1qqvxPY0ik9inZZUIrXds9PqJolJ3AG38St6IGb+pUZLIsnZVstsqNHhh3JPQUBG16+Ok
ezMrdRvosJ4t+QSJFmvdfJv2pMwGBIcQXZkjbtpfgHhaM6skUyqjP9yo2tblJdvYZrUfZfk62pFy
6koEQppSgrHddTw7bETtabMT1+5H2aGaYJcNd3OByIZtVNlMdrpwh3GwNx9tc403VrjHnStmG9UB
p8+KNfkTbZtDD5qNKGZs3BFileIW3+iD/KI2yzoIlEPVFSe1680txvUb8LbVxdll5zmKLSbRopzo
FKyWbRjJ1aJScnuBlP5jHqvVQ1yGOk5zNaFEKbmUSOMb+tWIvENpZz9kO7aXeasXaxtwAoEKGx31
2lCeECBvtpMtTlbiCWWg5dbh6Nm5TAgQzLdAmoeHIEbeIhrsCb8RHFF6L2xjbzaxsuD1cbHMAbmA
rvDmasgrevQH88BKtB3OxJAXWomGR4ja6RXMKkm6AoMWw+wqnsZoOGuw3CAOY4QMD1K7SjYvW12t
7I2LyMw8b2A0slc2SEVMd26BKgxU32aN+CkCXdgokAiv9DlmPmg05J2/THrVWkVKw7wmqYSrncB8
74afNsYULJVctphqH5/kMvnuOum3xiBoMsRPWBKoz2o7wjYF/4isR75XjfYne35/AWkqIWcx+mdm
q4VuqumhQqhkpcHanhHWRlPB0x9Kw1iOvDgfM15Gg2/vDBZNK7/XP3Lcu17AG7zZSr5E5rf8ZRDv
9KJnO7W1Q9PI/lHnhayAKcPulfSBTbhlY6Tjry7IfKgNMZkrrdVfXPedHdFTQsToIfMibRH4uIk1
sUwmIxhWo+9DMO2CCLlu5FlTwulS6A6PZS7z+OC7Bse7aGau2xnzYiQm5ZtedYXj9aKyBDpq+UFS
8fRQUoRxdwPmFWSDipfIaKpFEZUFBvJMhvjY9+eiyORrp6Rv8Onyy5BVf6UNamRqF+LH3knW6zio
k0LdKJ2yAe5H1I36ChfWdlM1TsgCSqpOXn9pUEHK1lbsLjQrBBRMiG2OAgnvKnMSKjAwOTmUoKd3
boAJbDyouxGKDHweYLJbkJwEupxYnvlq+tiF/aubSf3KR0IXJ99ur02hEXNoW1bbbOaSrBxO4OiG
k8qrbCH1PVHdZniOGk+/tAMXnul8taLoWO3GNUnopmgffSibG7OVeTim6pC7zaPsbHUzls9x5q8z
K1OePb9bWqqcvJdkV9YxMhWYkSj1s1UkWxb+i9aE7T5bunCVuR9RqEEqUvqu5MN7h+jJi+9AA7cd
e4nlmRHX0SEZgZFhQLK1atSn2MXbZr3P/AbxYT4bBkg0m1LSIXwH5Osac7l+4N+vX5d21s7gv/OP
+XoJ1nKNXsjeOKkX+yl+NX8SDVYxO8HjSYPgj5ILaaNFzQoiWARzHYrO0uEtjDrAsEHeuDx09jno
HsGx4+4dlgtQs2t9sVyelqf3E8yy2Xd7pszdWb/Ef2Nl7DBruwSX9sV+0/5C9oZVb24iLEg4Zw5H
lGr4UNTLxiD1sYww2PzoSVdt5G28Hy7dRX2q3ktA6/BM4ERZaD/NCVy71QImmFSvmm5NLB/2KkgQ
GCTyyR8mt/ncf/KbfIVpSAFbikRlk2PUgRBiu3bDRoeKj9t7qA3S1u7SE7S77GQ3/nuXJT0Pqrkk
b619RCwEZixnJaRBI2vjpdkhjtrue5YjBtD0UnYcgNxdmk5+Gb10VXVt/MpBCDIp81hjBvErkeS5
UQJBwCK0gFuu669aaxIxC1luhuleg/CR8iUeXzH5ncGxGVaXulvAyNxdIoSr3MeLdYVNWeSduTCq
odiJotDzYlcg93mrWj72B14O6ydUw3JnodqGc0hV7kRVHEUVt0aTJAeFdNqOzNdB8g8JkdtVofbZ
zsnNjHw5R1+qJdmRzWi0i9DWUkyGJyNL3ysoFfJlqz62H0TP6GIbFhglEWIlSXduqB0sEoQr0elm
bborWi/bTd+g61TpU3ueWgTh4OCknZLsROGFbsLDTXFvE0fI2kyvfeZs3AKZIflMTPQs5B7R6p+L
r24EOftKcrpzT8mh4TT5zq08zLLruKz2cq426wx5t9Ewfl8du5/09jlf2sICASeljDGqTuLnMS1Q
3LdUiEyVH9QLJjQUoaQCS/rYTndo1KMzE45rcIwqrx7VhyFEolqN5c+FaPOsEgsEYo3S9FcXBflY
Yqe4tlH2Zj/ZZgCR0GTe+q0RoLJV1hl+gHxQR3r/hh38/85l/6Lsj/4rWPT/Xtj//8Tfq+gP17Lb
Gb9V/RXV+Q+HBAd4N0tDk2xC0ne/qvp//y/sX/9jktOWgV4DrWIN/7eov6X8hzaRK0DK2KQwIIf8
7Vlm0AUDgV5Ns3TAHvr/i2eZZk24+jsmZ/o+Cq6bqFEriPrL9lcSh221Q5I0sv5rrOq/yh6DI380
2Do3SB+B2B2/ByE5R6UOfxZpo+Jir2jXMiQYo1gWsZQyA8KIHYvnt9DNmqRfwibIHsuyra4N2SjX
jsGTTQVC2cRCYbms2StRLXL92Bj2hWQIwpV169RwD+V2dxss2cOu0fuKXYwXQ0GP85UWEOXDbws7
GZwH/i6svM2Otg9smTih5MxZ/6Jz9ne3OBJjxFHbWtIB9cV7M4DYl9JKGnREpG5RkZt+iy3lhI5c
8wsa7X5QmuZ9IIi3aHt8iGOiB7tI1pDRNOrgUZdbYk6W2i6tEQggdlzlMVHd4si7KmcV6j7fm0S7
KO5thR0vKxK4O9FOgr06dM0VfAW2KjEpv306FaQQe2J4HHGnxRunTP5Lu61G0CKzPC74MzJaFLd6
1kf0iQsFdrct467ZgCeiDbradFZK5DA14CNYSMzNyqyqrl7n4c5FWGSexHqyl9iSZjN/EsSMBmL/
/+VQyCeR1Im3CCVauJNO0CgzTXqCExyNXRYNsF+J/029oqMuMm8N9oZNFkpAE4GzeA9GuEMuujI7
3fHstxyAyeR767jAL3p0KC2n6U9+nwyzbrDyd0UJnDmOPtXeZr5+Qc5jbnV58d6rZrqxtNKD18ow
aA7XLNO1Bys0u0+nF8Sa5xLG7uucqA7+RhISh7ifXm5VN4j0k+lKBcB7s0UuQ5ZUAOZn01RdHhCU
5Vuys4sCUv9Z5IaNKUEMi2DvN4q+v7c3furuLNW7iiZR4KrjnIkHomZELuB2DR8n0Fnm9ZjopmEH
gZKilY32MCYtaMSe++tLhxhyb6uCZMSLFGJ0boXWvtJ0tL+r4lXUmlFnpy4Ov9Z9KaarmbTM4klc
PG10bXEfSSh7mqgmXbN7I8YrS5BS0Uz4+YpCjut1aUkWEKmmfmhyhQRWGlwLtKF+tkqFhbeffNdw
95zFueM9DxX4pIDdylnN/XFt9kqydxFb2VsBkQQDe+q9J5N3f/ZhPJZL1B+lE9t4rNOLQdn07RBc
bkWcRgf0iHafmqZOyS4MdKQgnd87gtYJLj+J2/q/z50GJgBniaPjQBWqGTqtdYGCqOI8tfyHHkSh
q/zOhAn05b0tcMeDE0raMWn6+qHU4+Yg29LtJBfJjq0FBgDSvaofnGZMD6BlRSUIRyK5nw5JRxOM
d3I8nkvtd083nRaiRovHh4+X0AAAGvC67GPcARmHkCAyObz3hKhFPbUDYqbdtUHQpEOkr2/jmtH1
T6I/qeSfpGd3A2x1vFrJ4FTsrB+shTi+FYR2SMwP1pyNsvIg2hC3fykjtzyQp1ceei9JD7UVvd1P
qv0Sfdw/L+reLpB57bnwFI2f0U8vdlwvR1ltMI2hdmuKGkggndXORTVWSOI7g5rcx97bDTIAq0SS
2rnGM73DiCmYjTqmXB1qS0R6jOSHzc5MQupIrs1iITVJdLSHmAHG71nh3wcYk3Wm4f0L6wII/5dJ
lq2VpiomHiHwwiaw+Z/ozKwyFYSu8LkHlNog9aTLh14rFQylndZcWVhjroukfpZUhc12oufEN4Mx
W+fT37yxJQxlAJqJtJvSGtkWgQh9Vk6dos33lHpmgYXbjV1gHJUEuXG9JI6GL9pHPKKPwVJ/nY/e
90jlDo1JY1wxdluJmii6dhubTQKCh/4uDw6yPwaX2u+kJ6Mm8S07TnMQnXnidRMKuiQNwVgZDn1l
ZqRPQzs9Qx2Rdto4SIjQyeHrGBcXz0/Cn4ocvAEGVZ4zM9BWaRBZqymtn/jowuVdKF+CULfYOGsB
q/BWOerJCOsfLv+zkqIE4Fd9RJgF5QQUuaMdPMh6Ul/WH6SGAnxvO+Ot5RIbDacqse5k9A6iJobZ
yMEsYrTnVug46w+3YdtGATfiq1pyyexKX/dmKK2dOrCeUYQ4m6XXfrheRMBJdcYL8irjvoEcDVqg
zz7cU2dBvUQYxFqMWJ/0V8LR/0KEVr9YW0OJsyBgGnit2IYJFVrQ3T9Beklp9ElWld7PzpKVRQwx
7oF8yHjVvGUktFmLFpzhWBcX0wbvgxRhvdTCPnmS86Q+WGnjzTov7PdaEXMHjDoqHJO6NWtRsGAJ
hIZigk/dO8SRaBPjRPVL2/3cLx3/NPjexgqTxFpvAUFQ02Ue6MYx1yNpi5mLu45avb0kqDjNfV3S
3wareXS0Tv8LMQmyxpr3o/ETpUxnpBwO5HIxDLQQuoM9SFxN1InNgXOzptbboWg1awOPWJ9cmBg+
nSjaHWKj4BGb+NAhVLEpVDxkczfJz+CqkB6PNOfNzlBYVDL3VwCwVGmLfJs4JtYzk15bjI7ysgtb
6ARtQrXGfgFVDA77uDiHuUn2bxonmgbXRFAuCZnm0DVlajA++iJyDrXGszZmwFcAOWlLcsbR1Yso
5BzjrCpjVVDqWXTF7je62oT3sNBAJVG0iXGI3kubBAvxmaiKAotZadeEw9u9Se/b5Gih7ajxJ1+o
BJ03fEpITjrSniNgKklvmgDsKHSt6JZurJSzdFo63DvEkWhDugQEwD91NyW72R6TJqTb//OC4qhW
vaqcmZX2HXhqecDU4JceIwjY243xYgEK9jT0dJXR6x5xhlnihQW3F+/kQ+6A8VNqX/kwLR3rS1t9
tcCzr/wWw84OWcVHJpcfYoAaoYtjGNWjYwTFVh90GbCeJr2Wjb3W8075cIiczTXV6c4mCmkHZh9s
F6aOeO2l0dobVbQ6IOBMUCUPY/LUPw6mSv4Ov5EtWvzeiaUxAHC3vhBRlY/FJCKoZJKDVw1IK9Ep
ilYqL0OpyEdRu48otIDTp7P+voYYgcKMe7tGHXr6rFMTFShZQXgd6Vt7dzsMM8XeSZpN66fD/jJ2
g7S2UJJcolguvbitPy7YxoEh9m3pBcoTAHeb2UD0moh2SJYt4d2K6j6qpvAVGdWmY/EvVIQv1Ehk
1JjoDFy1bRmuh8m+9s+pzvWjPpAgSP0CDdpeMrXNZ13oVh955O/bqEQzNzqBKUT/r/XaQ1hb6rPd
ZPquDqWDH8OCnoOSkBduHmcrMbvZUYyu5eDHu6BNM2JFdUe02oqAY0WIVn3aul9u+97PUgyC1/5p
O8zX1zSIuDjwKfAj+V/8+fWHOCmc0ezdn1JHgtVJs5d+SNm22uT5tJxMB8pkC1PT9LdQZscKzIQN
BRtm0tfJdnRz/U2ztWATZKRMRdVtsp8Y3pcXDS/sq2V4j7ezCWitwN/7a3HtwsmuSCsDQCTI9C3o
x2qHFTaRqFIFVCEOb/XaqvbiKDIKDEiEjm2dIQOUDZC1swwEzZmY8LwyCAqFhEtHV2+2kW20JRJX
kb0PYsu6FWFfdQg8T3V0+IrFmCOD1SbSMBezn+5iCFXX9puuINDVq1m/dYhpPvIM/RQDSp7umSVL
9sM44tXgwkRbVSQ5gEggsUWU6ntVYQAc9bzijLFWn0fsWVdplWtLuTU/V4Fne5hyY4Y3kaRCJfCR
yOJIFD7hrxl452b1pSMYveRfHNeEf9mXn589L1Q7Aw0C0xH9n+ZcRfMG2elD82db2XjnGsQQPSLw
xz6Rz1UQDA8aqZAHzXKQ3AtUf2VMVdEBLWIJcXm4DfOqzsWaPG4QvYsJdhKnnkm1al/Bp7vXqPSd
vdwkL21mu1cdwa3roOTR2vAQK2rjzArnKHGDgcalYi3OEANHhE55vxp7cYZoB90+XVU04DZii6uK
mjhDXDVRfHV+v4o/kEQIyfmsxbggIprrVStNK4ydEtWRPr8dTnVxJIrO9o1dZ7L+R/6RQ3h4C7IR
ZIWiKP0XbtqNP/3nz0DgC/iIphPP0Aif/fkUqkEaR3lg4KSbk5nDYyE6k8h6cGzU6y24K2dRtJOU
Yxho4Twjbr8SbWKsOCprS1t2itNCcOWMe0dfdPW29Ye3L+3YSkenHNvFP4dH06cDOj7UGV6W98uI
YZUU4n4Qa9Lt00XbrYCzAM6sBsz59/f9fUY6btQav/UvHWnlRUfkjT+dcP8wqKprO1XQSfn7ywV6
nexQDiBInELix4WSAiRRPLvVvx6KAa6pMODr4afTfC0Div1fLjZdvIZqtQBP4JDU7q2jKcf2URxZ
UEf1pj8aYfMY9N6jUK0tMpSA7Y7ov+HXA9pXKHofRA8EV/sgqgPxqVXdoQobhTgyOpLfPVeq8kom
1HsgAtWfLKChk+2Y/B4nYLiUNlIOo2enT2Ss0Yyhnc00mi/IRGwSP1DeVfMBheXyzSRKtc0VjMTE
qH+4qpIW478QHKFVc2P+eeOiQ6bKUJtV5hDeZ3/euFiaKVHXqslPgh78wibGFbOmUe1jhFAxbKBo
L2pZqAKdxWMgXhJxreei8VMPTlu9GxdH0VQPcgCKXLUdlqB6t7gP7ke8mES1yiOkTUMXyKbbrOWO
9xYQ7jWW3vUJ6U77ivoF6x98wh0rda6iKa3TageHDv341LavCCPa13zEUDSBoweMhaoYF01S87KJ
mbFo6yZOBvPx1gb0uE+VztiLo3sh2tCpS1e8ouE+TOMstYjBOUyHovhy3qduI+oGKMxsZgNX/3r9
L6f906WKCmn3AdeTf/hm4MOtXczfCJRGD6kZD6KDOAqC6qWNDAnYzx/t6I38HiHGaiUrYAfyPksT
4sj387+M6wAEzsvOhCr55wUySBntTHxI5aXNwubbzj81iiuibafgiGOd/MbQ924E3JQQFdRyZ+9V
UVmtpJp20Wn3UVDOsE4zbuPuZxB9u7pQEdb3pvtp4pq+vg7cR6K78sHmuyxlqe5eatV416bQd9RD
ACDO8N1sJ1loEpNrl8jlpffiZWnaxTd7sMdFPJTsMJoCT8bKMhaS7prvDoEase03Y3K/ki/Hj73a
RRurCOsNNLFFFxfuWXXHTW5b+YtU4c+bx/V74mbFC74z+YFsOdbUUxWLOgseA5nU29gEZm7Z4OMa
Tb1ducUNMgmyAs5O0120PiyxDcIVIMfS4LHLCGmjBWL9lJ330O6xgihAeKKXNT7YxWhv2xCYVBlp
04zejA+5TpLQDEtpI9rAII8XpH5vJ4gmgv3AAv2iWeDWNj6IK7mednVynEfFiBaKKpJDI2p7btHN
QVgRJR5Kcra3N15vAB3AKrTZDErBVh59b1GI3vub8d4RMbcYKnHpe1MnLnJ/od4/6d4mRit/X97d
KFsxb3vjyDxeYyCHqgsz/K0+zeiDYpDTUNDkFUOmpvv0r/zDakCMuy8Ovlzufi5/AvQSRF1HiONf
FguTK/afr1xDw95cMTQLngJr9y+vXAlLACuLLe2Hp0l7s8xiG5sB8NVRAvb8VncC379UhV7NesjO
m1ujXdj5EYDb0qqHCBVnX/MvozxCrEIMAGw5p4C8d+dlBoicvXN4LgAGLFJW5AtNMkM8pWkThRk7
5roK5By/ATqAXYZnq1Q9SJTA8P9NmkuIEf0xyaDUNNmAm7JqG2QWp0no0yIVRFRVomVb/dBLb6ua
QX5A9FBd4b30qy+dETOiApeH26HnvNa5ZMG+duUfnuQ+ZcxbL4qvyUuA3c4etdMKCcRch7gMX6KM
ENi2GsXE0slsj2OvOU9mogKSlO03tFBTxNon3rHlO2+13nzP3cq8xJkXX6HuvBPWv/7P+7EpB/rl
14We70BvZzkoK1Dc//y/Kk5kq70qpz/MEKe5Muyxm4lcgJG+eRE1WbbVNaqAChTJoUjniZldEfjP
j6I36cxyF6sJdEPHQgOsCP15BA5g3w+FuxdHudadW1gLa1Ej4wm2UxyKAkbAwhwHedd5hktSwnR3
2ECW+zqq5XWb1fUZbQ4WGUQhnmxM1uaNk4NOLlMMDSpb4nONwDt4JgWRVGkvjkTbqKvQwC13fW+6
DxNjm6j1KsjJnAsNgmsFQXvyhgD3Pik0VpYdpCvE7qWXeoAmFutuBceWqq4pr5LkGGdRk/FY7Mf6
xelllGmL8VpJabj5n38m5Wsa2ZINhxuSBZHMah51hy+/kyspcp/jp/sRSEa+blLpm4bW0FUU8BNj
EjThha+JJS27f/kIvWnTYJVxRREgvZaNl5yjSYpZKlzUz/H1vAQ2tOk2GMgqfzc6yT2LaynTVW29
IZWgl3j9/ednGAG/qc0SU1xPtEtB+exhXAVqYrw2OcyyCNfcfeMayj4L6xFXDFN9iMPEn0P26r53
tbJJIEb8ZcewgGLT/q526LMDkPceh3BET0RJ3b0cWcjfop8Cli873dNBOuzFZYPw8ucUUWk+TPob
B5EiGpy0OcbAgP/ppKCpEccNOMGaThBDJLtvjtOn1H6sgHAD8PjpEwypuKBD1c3zIqsfEsB5xzJA
2SeS6wfRxEOByjLWd0tRVVonWxFG8Xqk8gfLPKDM9CuFsnbptMC59pr92PFUvU2YuRWeegVPVWO+
FX5zbFsnfITTE5/LDm0FcGzmW5v0KKYOdrxNXfg9YRQHkAIyhO2GeGWiX3m8F75s/q6Wdf+McSEx
dsSZW21PHPt3obq6to/hSmH9gaL9NjaQpZ7axJChTrS9j5zXOpKJFZRh1ryqP0qr1V7luhiOSSGT
uJ6qkpT3cLIHE93pQHstWRLMuhak5+9zMq/QH0DHm2u/84uTrRU6toB2/KMyj6Ocy98C2CadKSGb
XjbZozkQ3pAhTGLUPOBZJek7q6uHZ8APm4ScyzcMMpSlpEXJNgNy9BYCQxDjE19BwDXMUaCZTneM
2XTyO5KEKQizrPk3NSNFlb/OhDx1liHmQMdW7VsW6tO8YHhdDnWnzD7sij2cBo0CJgNFMfr9vE7k
cCXaADsBwML3cVPazBP3cb4NudON3UPRaTV8ExQ5G6tX1t7QOK+t1y2x+B2/w59DW0C2vYOeucNO
wx7RQ6DgkhomExKOZxYEkYtoQmjfWbcGfIB7m+gwRhTy5bg9ui5nFiU6mmWSKSvETdgMJhqwC9IF
3V7xbZ3EMzgSUfW8HH9IdHM6vMunQ9FqAtl2558GiMM8J+cThv1W1OrparfR09lOWeLWg3jGHq9v
AqWSmz/iG4O0AsD2DSFgGeIBAvPpaNW4sKPSH1YZbMWpgAzoH4Y8LZBm1zEx+rtNHAn7mf+2DYPF
aI+mxH2UGEqODOaz3KKflFcyKcjGWkpSIYdzPbYwxDRddYuREmaS0+YNUWPscBUgKlPTYMXZWUpG
tMapiaaqBfZJYgKomOqGFxU2B+4+IAOyCfJexkhCe1qxgjgzvPuBv1dZQOJpHOmk/VBpFcP4YYxZ
akcBVpWu9tCW+oNoBw3TLcvB8raiqrKnA0r6biAIUGUAhcMs2odItszawfef6qloFRLwTv14a/ET
hNDiPt/hRW2cozTJ9+gp7dW+KfkJKDC0HKGpgoUf8bx6rHxP3pUhhGnR64OaXOaY3WwlFg6LIfSC
EzCVcodmQrau06hBWlB2ZmzR3Y+uqOdBrbu/TLN4JaddvnZVZywQUAxOhY8rMAYcEBe8oElRa4nY
GopDK2WXeCvQkIWoM9U1BCfWeONNwlU+4jaqodtkoZwNIriRvM69tJrZUoLkCLmdtCXjaIBzguJL
4kdO0m4LAGZng8rB1sSEGId749FFo/uREO4JfzLlHbYQ0NYaf3B9nOwi8Ly8+CjsYoUpbUWtyDPr
Io5s2IcOPhMnOwY2m9n9KsJAHpzz9OK1sbPe1GrwLt67KJA7vztEPRn7xTjk6v7L+zkwtAdMHwxI
RkHOHJVAAXKyDtOjMMPtUw2ecVJ04Kol/ruemT+tSM5/9Nmwg2XlIrvSXaVoBHeJLgRfo3VPorAL
E7UV11zKVmtotw5JMlyMp5W3YNRIZosOqUF8DLLe2kkdlAWHkQJmNpoYVO06HoGeT/WyMqtNYeWX
27ip6dYr6jweSIZMhRjHLXYRl+qr+ByUeMQoPjrzYyi3j6KAG+4A+3owMzJQbljgF2tG5Vr04ZmQ
HXOlfRY10OvtY1GGHwaOLHMESvHotQ33LArMKaqFDQxleW9rzEg6d66z8pLKPNzbrciadq3tLz5J
OqtywZ6Td3mCryPSF6JRDJZRUtuWIfbcVlZvAYLEb4PmbGojIfdFUPnSNOGHaA4DPVpHSd2sRLWd
WA4hL7Ozmbr2k1NLC9Fe21a2I4seLRDyj98iaJsQNYNuZSseG10zU75l0v9l7LyW3Na1df1ErGIO
t0qt2JI6t29Yjsw5gXz68xHysubymXvXvmERAwBlqykSGOMPpUculQdBLkbvUuI2tCCDWn/1k1mQ
Xw2DK9gnYAvwyfn34ohmjn20Er7SHuQhQaSqRCP8P22MnDH3g9qBNgqxTHYHcdkdEltvD1rppLsO
D751hQbYxcEFGPapEv3AO9sRrYB1kqHUAHH+XMQNysdexzssSZ03kYmrHBnp6ls8eO6rpUGYUFIf
e9NQ/etagYuWTWKXF2eYMGJNNXRO5KkpEgPo9xwVJrKoJfohKvqOkJW+dwiVLxrP7ndOYFevVaah
3JsOWIqxaXxV/aiF5ZLYG5at9WsxunyRYaOtZa+XYb03+Za6kr2OWyMPhhbHUjYbxPv2iPMo4L2Z
iy5Nfux61imymfMHc1LTfgrQ7Cc114c/PQ90lj/gx6X6/Bpc1/kS4xmMxqubP09No6wtX/O553uA
wnBVtoO21LullibOYzXiLoWxmf5i5hgktU45fm3QKO1qQ/mS6OaOkljwYjeovkzGuKbAh01roSSf
vt1gFKnE4UuhRv3aQmtgCW0i31GCHTHu5A0zYsk6HzTqfbcz2ew0B/z2fLgPgXoh1hqMLQALAdLf
ebxWgXce5IHMd3sww5hSVztTqNrMVR6UGtKfMSt3ykPhZdGuz9uv95A8m5Ra22ADrW2VLGtXkWmM
XzLdOwPESV5aJ6oOMh7M8VhVzkoyPguUGw4DkJ1VHSAqH45h8UhCuYAWwJnq1AXuyePv3nFuypjs
9VKgMINfTx9mE5ZLfUSSBceO5oQyE9bcZVN962s4d6WdfSJOXm8aPevhXVT6c2kEX/WJFTBw0W3o
tTX8lrh+lGc6+T48FV1EzHU2IgvFpVv2uHZMOS+wah7HxO4dcjListXCcMb8QXbI2O0Klh49OyzR
HuBDHT1eYyB0ozP4OmrWlYvT8dwcG/S1ZNMnVb+wlfI41MLfFxhpHdpygPOnOcllKvuBDLTKP53t
MhRi0V2aFlPYBLol6ZbYeMXjtyInmVmL+r+baAQM0BqT8ghpyi24iavMeFH1IvrsDVMscSA1rmab
2htRteahgNJ9gFuDkJmrllfgGsZyqmwS4IiSPvDLTc+9Z77lEfo6xtySoWjWEEudDkunDhv33KIU
ztdCdxbiIu5q8xdbVye3tMMnbeinh9ZGdAJIc/cZZilwMrt70aIeY3A1LZZ6VvWfrYNBkOgicYow
hHxudfPkYXL3qSMntxGRDnhkng5+B2JgHl8rJX6QhXsSFO5eFuvlwQlzXB/mMr7sKGSF/z4G6b5w
lVvVWlM681k34w12ku17yu/zkAG3WiJK177HxlBuhlBxb7387dCfrzCWlL0qPqK5kbkvZlv5l7wC
1xeP6qlQ/RgoVuFjBNTEp8Kmfj23ZEge8GYahY3XGEDBy6R45S5JvYuaoLRZ6VmxgxXSvOmZZS7a
rHYOspnq4ms7DtajbOW+vlXVKn6SLVdZBxhFP6uZHSFfUa2M0raPzTjYx7lG1y9Qm/jdlsFoEP4C
nj4G538Gyo6/mp2DOKCPBOlf8X8b+2/XbCtqoOrQhaxDUuvc6UG0xY6zRa3EhU2csm5eRmacrdXk
fbQhKbeovximESEbVTXnKkqVz8bDyXkyjOAJrqm96Qd1PIxpSea9GLSNhl39Fh2XZCu0PDtAtALE
w1PkC/Ik5zpQyhcZxznpdzzX0rPFOulJ77+2WRSimUParSxF/a21qkcnFhiZQkrZmjl7sGZ0x7ea
/IMcoNjp/PQ3xTlCsO5oT13J7yNovuVWtBBg075kim1iMO4Wey1MhyeUGxGImK/txvGPQM/KZxE0
0M87J90guSTgBuI7PQ8waozsRTuVFCNN57E0AFXnc8eQwogqULSgtBlDDgQLLgHh8iDx3xIqLs/u
HX+N+6spB1cwEZeuLRDLmQHm9wv8db37Z+gs6EHmTeUqstVkYxWjQC1ubD8xDS76LvnS2AYQWDQa
AA24yReSPBjQOiO5UANpDoigazksK9qjRxLlxbfTaJ8bior431gfxODUh0hNmsO92c+xxFU6Fjjz
qWzfBv6Zco+VBSLlRVL7q38bHKLxuK0tZHm1olhEicFdoHvaS9fE38PSyk/m3KpHFF2SwZq2reKj
UBzxygoXRZs5S5lQ4uuxVpYd+f9IObkiOlSRHd6STK5H5i1uovdbBuk+4daOleDQzINR4ldX/KTD
vdKrSyp8HYIGOrar8myOKWZc/TKNcgkIwjsatsO2ZD7I5v1QBADfW+3nPfLXqMkUFjYMKW5zbBfL
umieknmLNIIlAs7XdnvZ1FoF2+Ix8ZBeyfMXu3ZzcFfKZzyQ3q9mK1lE6LWToiUq7g5e/plW9T5E
rvHHKJw3ww6GtzywrbVZN/ohzhysr6MKsaIUuvBQZsoe/Q8Q2j5OiLlhK2fb7H8fhGm6i4Fdy4Ot
pcFFdrTK0J7VbiMbI2KjcL/HetiQtNs3s89EG9QLI1CTn1q7L0Mv/dVH4U8U9qhuKQm7gnCaTuEs
NV1jPv4wuUP5BDQRhQZe0N9S1P7kJNZIl7b07A+1MeOVB3P63NkAyQ1hrrWoRssMBnGoTO23qocb
DOI5qjALFDhnPNozqg8X2t2I+d3VVFL8cc1c/9ZOyjlsE/9VQx/2wVKRj6SGXr+arv/U5Hb5RaAL
jUNr8eQkff6kOi4LhcpA+H1uyg4FyfQMTsajDClORvWeQmBrvLNbBveglT+0pHmvMx+yi9O0G8ML
BB4EyXRmayhw0RH5dxMBkympfmR9RZEa/bhr6ivVjn968+BRMH8J2xj2/zwEj4EHePnDJ1QOexVU
jo+hKgpyA6+7VddP7afVZ1v5uSTEuVFZoz6VVm2vm9wfHpGe/H1AREw9ZEEPneI/cc8VMcmkGIR/
xbZp1qn8Pfg+ZhwoFxSj5i+6xLpGvho/xKIK31jqqatSQLa+Nd3GxaaN/4RsTlqMRqWfoqc7D7YS
hCb6RvUOJNNotuAbKi2pT7I3av0PEtLOI4/S6I1t8GMpnO5yuxCF9iALkic5UTOQnxra7NqNs8T+
/PLOKGENiJcv5EtbxjqkO49dbZ/uIRkHJDdUZJNbO9ix4YvbJ7PuQqTmdTRne+Cj1ZhWuyKdvgMc
nrad2mTnouKHUhUGxddRg0+bNN6PkSKzPuJMxm+veezIJH+JcitfqlPVPfn+vBHEcu4IETw/eCQv
Hkotb69k1VXkM5IYuQusLG0fyY2oAmtdelb8JA9el+5UkFCPt1bUkKe1lZ09pcltgKtY04MR993S
aYtF0Ol7xUoEgjEcfISvUDCaT0fvo5/izdQE/lvhO+FhaCCVmcnkvUWYZmLm5+DoNze9wXeW3F7w
sOdmbaQ/ytx0H+VUK+1RtCRdRuKjRF3Uug2y3VI/lkaCvcQ8pwjsdJtnebBW22DtmyxNJjQojgP2
4BrSUU6FyH6qLYy4cTV2hVFzVOMCVprsKrxZ2GMeD8mcP0E2oowVpBnCS7NgEXYx/T42sqtsFVbQ
nv87rurDiFvYPBaFlkGONTDUuw0Ds/qPa8i4DIloHI6kqrDzzNZyM0QVC4mrjhq6o2fRu8CgWMYz
FdcFXKrrHZbV0ft/j5fxvi6Klzpgy2Eb/qHDjfYgz/QMeLmewtVREpLlYlSmbVGhyHC7b+eb10Kx
8TgN1UGGXMf1LvKWrf19S4VvV5WVgm5XPbzLld2/Le9kTG+tn2WjhayL/ms9eV8edglaib3V4ehr
f5A0GT7JgPcIYsTe2pmbaHOdyY+yEEpj/RQ0lHpkHO8Zbux64t2GuedLzzq/Zr8R6MarEmbRwSxR
9Eb+S/lMdOULtrnW1fAMHBo9FIxl3HZZyLE1L0loef1aL3p7P6iev+fWI9H9h7fRaHimpMnYbiXQ
lfWGcvH1irscdo7kfpSxWm+mAa0YGcscNNqmGHUKrerXgFH0Sy1q6zlOcaG0vLp64Ou1nkmaq4fK
NpLZQMV8lkP+TBDAOdkqx0A0PTV7ETgxTroTXTFmgP9R80wssvglVoYJ6Vhn39sTabu8Ff5j5mQ+
NCPMOSy92INz2OdpOutPITI0le1JOivLgz5vvBLL+fCHvtnJUDxv0LB0TaFW8KAE8ZlQoKGEp0y+
spiUYPRWedFpe8MXp1tT5g/NpDxFpa3vZauedB6orlvBAfMfWAQhLT0fgHS+G8KuoBWgNj0l2rRm
8e6s67nZ+axYzFL5YiYt/tdBidaEp40XObaIEMGKp065Xc2I5rwzaiNwSSvl2dB7/Xn6LgbVRv14
LNSFbUb9HkkZa+PVHjrV8VsOPueX6sNV8az2IwjLYOVgfWhH2DLrccb2OkpaihimjVRq3Fzr3Kyv
GgreMpTnPfvxeUQrWgdxTDrlsDnk+toebke5ZQcIhA46sHt07CKsV5EWPau1WmxZ0EyA62agh+y+
jay0CT0zw0AK+T5TDrKC4Ecy4DIqSKs9wdu/ZqY5fkwqW33SR/1GNuELfEl5eF0avF/lKK0lp+a2
wM4jNorzgTUNN+PUAxz+E8uxJN9RIa2gMbZINanoyaK6TDoyZlk6NNHBF6gwyKY8TEWQU1ZKi0VV
lCyFZRDVpRCZ2HlOAgYHW9v5VM5sN9Q3S0TL7WqLlGXzFFQh/FvT6X8AjeJE77+pqQoYoDaac+uj
ZhRovJ78wQZa2CtfKE30P/RYZy+uXTMUn/dZkHXBQ9ej3J9GVPvdvA5P5OpYUPXddDEGdVjrsyBt
D4MhSy31YuWq8Ypy4DGZW7JvgHEj+9R55NxX1ol26/v/58k+bcZA/5lneilo8jBBAi1Bo8fAD+KS
j363A2U+PPAaKJ8Lw2sWxQxnspVgYZITjG0UMbLI/DaAi8IwNdMvyoTU0oBSBdp1JPgq1mblZHzr
gvlPrpLL6PsoeQRmiify3KEZWDRp7JjqgR9N3YSzMH/LDVo5vArna6fxcBaBEr2FGmkTfdCKrdYm
yhEQE8awgWnt0elC1nHWdpRnwi62voJbtFFkM/BnHnLvlWf3aaFZqvDJ/PiR5fpCVIb9ETj6+FAm
iXgQXup/iAxV1NzMvvKaate6lqE5xeP5ha/pYvPgWwShny6qeOpf/DoEnJZ06gb3gP5Fwd+UzHmT
L2VvrzbwEUlHGLnjtyS9kELqjOTJgl77Ak+eRLBqTof7lRoHvHoxX5jxKOgZ9aH2k+6Y4T6KM22M
3YNsNighQgVrj71ro6ErT28D52CixG8ad9KDjN8PaHteQdtBtS/rNx77za96zjnAbPjBkhc1FsRU
X0rbCQDQduWxEZF6wLsbrVNFPCa1I669k41XkdYsiQAKyJA8WAK9qLDpzrJFBltcb71yQlizQujx
HL5fo/Z4fKeV2N+vEeHTfPDC+k2GMh4lj1o5ABKaqcAA1NEenenC7Xy4NzMleI+QoMRAdWYUyw5w
/SquLjN7WLblAWHUBAx5tZQX+Puq/2jHUfBU6aYLId1C5QgQ8UpDueTN1IFh2K2GUkvQam+oqyG8
7Ql0ZCYt3Y1zcj3QQSqFeVRs0jzMXkPHmx4QvMF92M7T1zivdPw9UFkdBzV9xSw5PNqIby5uzRCW
ku4Vr7JVKaB3vapul5OXVAg8GcjSzmf3gxK5lEhkO6aW5d5GNkFXHeK2jRdR2WloSnUvvoc0exa0
w2vUxM2+Fm6CCCPN2LbSQ67n1qJSM/FahEgx+KYJH3TudYTiHnuRYoNgWwM6pK51QlLiez63ctId
j3E8vsm+tkqNsxeVFzkxCXzjghHbQfalZmRdK0fZyL6iLJ0nlIWWss/LeeO1+U/ZJcwwedV4GgUx
koVxglpkZr7IcfnYLeKajKj8bGcwsXwW7irsGjQaOhunQtRSE4xSLrAFitcpbN/VwmseZR8GvWwl
YpEcZSc/82yZeXW8l72KExUrkxX1VjaLnjxBLoS6MbFlsOvSPeTYb5/K/z4gON+rg3aU4alDyIvX
9PR7WKyReEXCAffxSG9Wcgx6A4yZ2mnaov9//d2UE2W/nB13sbrB7Xa2K0GfobQHdc9ygJwTr2wg
PVZqHI3OFUuFYvqq9Q2PP9UcxA3NB3cqB7kRSGoV46Bo0KfT/TDN8sU6qn97EH47bW7JThlPRvLf
MMS9+gHpq3Ahg7kGix0BWC5zm1xE0bqpu3lBo/zqS9BtlHxB6g5asiqEnR7lIQwAhvc37KM8ul2b
3bqyKn+KRmR1/jFGnipKnB0dvuzCGQVSlmO/1KOg3Fdm3LxFFW93gckG+RiatV49TYkaX2TL7NLV
ZPTjM6sXthrFMQkqpBrqqlj5OgXyaFLwcMPA6hpWybgZoyxYxV4cxkuWOtil90WxSUzuOfSfqbQH
KnWzW1urvXOYudMxM3XzKq/jlrzAc+Myzdcr4qh9tEbkHOePkCEIVxPWAe0vGbrFpxTNktBslvIf
IWM4tkHr7YNuHfZasdFQ92XVxDMyQRz7HEywRU3fOEk12Xredcm4ggRFqKkG4msMNathsBZ8U7fY
fZic9WesjGfuWB01nfseY/vxi48smqIV6oeInHYrOkS0Yrh9Mh749vTh1lO7tdSq23hmhRVAb4VH
s8IAt60qE7Gmvn/CRGR4CrVt6LbmVUZYoehb8pzKwplmHd44V/EuQ2ZwpwRO/4TQrXnR2HzeegEE
QT6KcOCSk8Ms+dkDJV7Z2HO8daLaiTzTr0aXJhAL0Zpkk/asYdHxGn6VwSZyu+e6dyi+MCEXpCsK
VMdkn816/+wp47vsC0jXnnS9weGpjfQnt7fegqn+oaP99BJXgf1c2ptGwYRsyeVeFc9XTubcZ6eN
g5lH0W7l0N41sN2pGwT15t5s8r3jn+voYyOvg5JkexkiqMONpp8NaRUw75bK3HjW4sE4VXMrUFty
Qa0Y1krBZsnDjOtxHi87i3mE2lh/jyd/O2DkRKdvTPWjM5pnJwsBLaU+anuucPd2iVVnOZTmEy8p
8wm5AuzWR6xI2jq0nnJND85o221lpxwWasJcNQHp+Pssa3guIKtd5Ry9NLqHKRmt5X2S0Oon19fj
k5zjK4W7d+cPNufP/OuDZTOI42NSR6+23Wvn2qqblZqEPhJ++S+vNqafofFSKEYK8xrmsebq02cb
YVkkJgPwEa+ZDZZZ0yFBzPmQKWyCChCS18gZsSfH2PTNL5GGzXvkH0T23MyHOhjgnCggZPIizZ4x
pWwe9cg6ypYc4VQNcmAeupNyltdn8bEevW+O6VgFly3YMidVB1LLGXawgcuFnoQJ2r5C32VOfwYR
ITB/lMfI94KTpn7KEbcQ1MvkUbZRhl6DjFMP2hyScXtic5LHlVipRdefCwMZzjhNqs+pMepVpWrj
vmkM/32oX9zZGm4aVH+Lw0S3tqKkIgeZQorB2ZJHqKIuK68scS7gYPotyoJTWO5kzNA0Er5sg7AC
xk3EL558krCgO4oegXn65KgSoQeIGdXJGnrjbMwHK7f65WC1GFrOzUZLjDNiEsbZCZ0rGxd9fw9V
Rmc+RtpVb1gXLOT0Eqg4P/hsyS8aSs2PyU6sozworkeqS54WfcVpYeJokLE7Wt4HNaL7PZx6r8UK
9D/NMOh2gsrszvTj7zw3fgrEesh7TtNR88OIX3DRP0P4dSjnq/7X3HYeNN1Qflk9Bp2BWn0bcTJb
YKJlPaMU6a2RVrePsdFo+wg9pRlWHVyRXNjHVgBOy1oZonE+wzRzN1psiQdtbioU71BJst5dw3d2
ca8FeDNRZC9CJCnSyTe2Fo5X716Qv0IxtC66yOOXieqqDDdJiLY8Ap1L2QwM31tlPd5N/9sko8T5
APVN0Fskp0st/GaHlr4q29bg1zAG5yAPFjTKD/aVn6YKqqY3LeupqvyjDGM70G/Hum4w8EirD2TP
xaIUg02BWURvVGJusxHfJo3oZN0FJ7a9oBjzSSoGBQ9wQpu0HINPYwwv/gAmT+ExeiaNXyGpQxy1
G7TYhT4nN4Pws5o2Q2yVHzjg2iw0JjSEC4HdV29qa/CWR9Und9KzYzz1mh4tlbm6XWOXhZ6LEZ9A
ziYvvF4OssxdR2G/mdzWepDFcfhty4Eqz1sL6v0wlnWwksMM2D/w3ur8bKLkccWu60NetiqSDJ3L
ACjT/CndGj3Q6rNJ0aNybNw5ZGW9n/xPKtsDuc+m4Yk6VQt50alU0JcEHbBrxm9Wr8Z4RRvjc5yE
xrakNlk8hLobbnM4T8fJoo6QdK33oLahCa2h7dvHtofCIOLhQHJV07jzZKyITi1eaMXcssy+37Ae
TnaKPSqHuizQ0Roy7yWqRuVseSm6urQSTFBeZs2TueH2Q4f9UNbOaQvYRFD0jkVNnR5d+eDJx2ua
u6sIP9Dn/F72lvLD95slxQq8tlsWOu5Qj9/RGUG7NkLtG+2YaAYYIYSsin49RKJ+nhSBpwxExVuz
h5l88dRwNWpaS3rbAK2ZQ1hYhwbStCj596isHRIe5E+RGGgMWbVKDEQOZB8K4+IUmhUkTTrDJmFE
ov1IvDE5JlAKNnwuRa0EbfAS087TVGXmuexQ3ZUgMF1Uv3J1zNAPoKjmsMBdybjWi03Opv9dq5sS
lxgLzJswbARNSbk2zVd+xWKdhtDJebT+0v1whBdTpUi4oHe0aoyRJ3CC86ImnL08QN8AkClPGchp
MdrOvpoPf/f/Y+h9vtF2/e/5Miin37rrlnxBletXdDxxrSiT/qujAgvBQmAWJnArtCUAaofnyFPC
r3qQ64uqN72XuoLxDRJGPZMe1x48GLMosNXNQYkbLAlVO93XmeVfkZzqH5BDZ8UsWv8qY0OXK0vu
ZWPT5yqJ4bTnPsTJapOXU/XQAXn+GGv7q4vC0qWGwvCcZ8ZDyAOC3Wo3YXxug0TmuWevO0GSCBRD
d/T1ZnBPmNJFWy8cVtZIATIH+/HUApLYqqFebMHdKE/hwG+oZN30aiQagqtGk1Fb8+v3qRRiodtW
crLmpuIpi8otolckf4CY9s6TDLe58HZJmYUrn7XCO+94H1C+0W9lr+tZv6DlYv0zd8qQbOIneTBh
/L8KMUxbb0jctTl02icZsVOHSdqznmvByQmbl0S4zqJQ+3gGOfDhuhZvcBn01vrcBGNXb2s/TyCj
0oSYoOwVbN9mgavo1YjK4FELyesr1mdehO+qNVovTZPrG7BixbrhC3gx/BlJ69Thsm8U68WlOPFo
lvFrOmD5oreD2Ci1cewsp3vuZ4RnjkANAN84OYwzSBQ1qQA5bDUBPUCvHBdjK1ezALzKFlr+6EFk
QC7dyrsCEi734OzsSwgUgPu2Ed81fI3cPs+++GYcrlnbs7zBVfKxK9HnlSNKVOWUIv7ekrVaNi71
eB/fdpRRHX01ecg2NZ2zGJTp0a6io183+YcTY80cqkm3tww/+xhMpLV5Db3iNd0/DmVIDYEv4qNP
LR+DBkt/QEF21qgnP4LoF/rhsw5/0YfrtOI2j3Robo5pKKhbG8NelLxm+P1bL3qAbZpRleXVTMN4
mxmKcvIG7fdBTasnC02O3T3egrxMTdHuxnzA4Ix77BMDj3MHxvmXj5gxtlzp9zwio2fXgJ1gXSab
vmOfqAoVX6mJD1b1zH5qS1wZcZMLvjmlvol1a/xlBP5+JBvzpdGxJFDHwDtaVhwslKTuFir06rfI
yOM90jzjUjbr0MZGHr8HMD306gmKHGHmWxvwafUbhdti5WiOux3nXlsnYWSbFcmduZfFELxlfBUf
FZITbxOYV5x0kqu8UtnBQSia4QWYzvgyYqwi5+iGjiZ7WdjnToivALq6X767M9W2+UkxOFuIRCtf
beg06wazplOmkdy3wix/GMnzkvOHRY+zWPE1cestHL32V1ZZu4FEy5cYHeJlHtUTNkoRpG4la/d5
GY4nU00KBD46/dWYS7UuZNWfdrdk/df+4hHwI7MT9a1NsUYEE11wx8GJTyHfPgiUGy6WBwJYj52N
1fA9AuPv90r+AmhUi3aV09YH1Goaclqjg31AjPXzQR5k171p6xGgKhfdsn/MyVNYFVrlKVteH8Vj
PR8aMCcrrR76FZqTxSP5JSBssltr3OQfPRF7OlbsjJG9sFpePXYSrdgVLu/i28EqAlZHQ7uphhS8
6twxVD7AjLzRPxHM8nedbNZx7KJCCGB1HqJaE7rvid9TfNGiAxXxuljI0zHQ5tMpb3Cq6R9vPVXv
R4e+99H0laf/GB+655EEC4r6zSYiO/I+qUZ+oqYIpGxuRm3QbA2Dh4Pm98G7ikXAiqTJtJW9vKmr
xVR0w0n2UlRHuUtRn62xqp7nS4pWU97kJaNuaheyKS85UP1ayWbA8uZ2SdlEHeLBMitny29Q3Tct
2aoAOhYiZTi93WPyTHr9WkMtsluPDP415t9iLFi2jdeeqPCYiAm8tmUGIdzo3UsXOO7FhcuV2sV0
vMdNIXBHTcFMyBHsb91LOqMSWzKxVKj+M1Wv+WowrxoWcpzYmwZFWZ7PCRajnXuq5zPNjX+fyRhb
pd+9f437t15ACe7tekUanHzUXJNEd/atgEGIEhEMWXzUTHMpTzGlYtUhT28D5FiKeWg2u31zmypj
tZwvT/8xiXKJsy81q8Ur0MkgCij1NuoB6mZpHVymLAjgbGgsK2tgOlXuUXz80zEmTvAIfX4ph93j
XoLGLM8L4Pakqt2F7G5N/QSqeDjcxymxHu2baPwQloVJk++pG6dRxV5PPLHvLdxnF7KNb9+4j9TC
N9f3frPM6ZdDZfA2/tbWzUAHFwgIFNWnRayeczefvgYFhqxqmrf7MELuXdfaDxn38Q+wxlE0mMjn
LPNSPQiuWaMpl9xFQY2bvV3Vja2w7AixraP0iC9LIBCdnarWPoCyvI2WU1hceuekfJENan/MGixl
41HiOsmYPBgp2GIgvDxV1NBf9G4zJ09nluxiaHKTJE/i8cvK8YseEqipwfiK6XJ7LVW9uqZl8maW
5fiBZgLqhJsqLNXX9rX2nf618XuDcz3p+1eJdf59bhsIT2bBdIam7S5ju9A3g1Hq7K8QigKy9LM2
OueInY14iWoQmqHK7inCx+aFpW6w7ViBr2Sv0hTpqZm8b7ITry6NJdIBXELaLaOp3mhGcDbGHkSj
WXknecg6itwLy8dZq1ewHri17/3yzKm6rWqm+r7rErV7aJXIX5U52VUvLvuD1ZOrwNBB6Q6y7cxB
efZXzE11qPRkJlmIGUiI6CZ4H9eIjm3vBOfOHX4fLAe5YBFP1eavDggD6FxVror1y39mkN8LsL/L
4xP3y/KvuLymHxbPI1odO9kStj4ca59E8swNkhyfSRuKnYWn7J32I+MWmzSoaHciEWN2BuPuoduZ
C3vofjkZk9f8M1aG/rq6HgYHza6arSmmRIHNjFiH5XdbfLLxbkDBa6RMNxTFrneT+ZS2PMtRSl0Y
aXTEroSnj+Mbj0h4mY+mPgVoCI0rrVfKR3v0ESLWIrzkYkyZAd3PvSbrh6H3Fs3EjQJWmf9dPUbv
o85tlJt9tpbNHDOqFeIt1Q7ccPxuaPFPfYY2yc7EeuJX4rwyxr9QYLxUmhK9g2X09naPnKEcFIiq
5nFV6aAbuD4/63QJHrI5yMEi9E815eira9vU07gnZLjJrBpZWuyd5CTdZC+nfLlBH8r8s8KT5yIh
DaxRcAzJP2HwpJc70gEM+l+RQvuMkz65ABZubniJ//k6t89prI/7NQYBWQy68r7LRzAFJJrDQ636
o40XoAI0bD7AbGxX+ZTynMjLDrqi0sXHDMLqUZ61MjhNNptzvQ3Zuc2DZH/U6O3v8bdRckKSUVFH
6gxo7l8Xkd23SbETJkcs2tgRHRKvax76znshwascQlNY9UmeRkMewLAiOPKD5KEBqQG0n9ODsYPo
yH0Q+WRDYl85RGRHFkX+KLwfrevHqzmNiEXHXHSUlch/L0rKLgAB1UGOVIxw0w51vjc9gUAKBNVK
n9GkNfvzmwLbrf2nu1EHZXj80xQROtULqc2moX/U4PQhlkNlJQehxRhp3ZXcWgPr4PkDYosqy+Of
5u0KKBgJ5HKyAVLnNFy1T9uyjKs81LbenWIzBG4f8vTqw0bZRU6d8bfrjGvepOYVf3cYIwrOrveY
xzN41SQOhdf5UrKjcGr8JHUqjPeYqtofXjK1B3klGee5umrAj0MjYqahFfFFcerb58lQ7Zo55dnu
Sc6JHQi3fYtzFHssyPulANzH86r3vZ4VahUvcgQ78JDSh5ijWuPDLAeMfrBSyljsg3liKQfJUz+g
8KjFbrO+L8TqeWV3b/4fFmz/+5AGu48FgK5uI3o2PhP4Btyn6rMPnBm14flgD5dgxHev4zVvAUwj
VhXOGxlYcydbTlLX59zQqrPjVT+EVYGq/hOSI0bdSEGSTOV2tJAiTvpSOaGyGi38sB/fsTOd7XH8
FivOzF6npeKfvLbXtqbWpHsdAedj407Bg1G09UUxrWEVZ1H2Ok0Vm+bect/STvQHpVPBR1EgcYFp
cggykR3L6qDlkXf8f6yd15KcStemr4gIvDkt701btU6IltTCe8/V/w9Z2ir9PXt/ZmZOCNKQUAbI
XOs1KjbGYFla/Vej6KGqQ3jQVX8mszCWYyO8ZFNiMQxC62SbuGZOJbGReArsYq3+0Q4ePi1WHXTr
3CkqGAuuuajMWN9VHmRzL/CltT6M9lMrlSxaU3VfG2AKSWlfnOBkGUaE/CObiLfxtUa6N7Gt+ixK
t3rP2bEWlLCPARsC16766pqBsRM95DiOrzbiy9hQdcZGtzxs4yBoAEmoSn99H11OEALtUhLn97qs
iqXlqMXJQgwjBmyKZliTVucTTRdlTJs+jept7vsZPtDTJTiyxtzAVJ70ahy8uYkyxdGv2/X9mhtT
Sy8Z4dP//em6fkBAJgE0P1226I4O++3T3at+f8L7FYS6TUok9MzN7ZQpyw2AKkwf7ucMLQsFnpQM
3P2sbSC5S6hwvz6hGLDExfP2CW/fFpa2SP1On+42tmp4zHf4dKK3GF98wgrhtPtFdtMnTOrb73f7
WrocEnjU//p04mjZMnaSZ4OKmr4IcXSWpF9DtTR29+Et0o5YE0nhAhhe8QjuaOK7yvkxNxv7gVTZ
Y6VazhvkGzT2UheAJfZur5mSznNTSk4ZNq9LB39dCw/BMw8m4zFVicj5o8tTJojIesa6epAU7V00
ik0BGEMznOHWv2whzdcEQFciH9qFfnOw8+jHvb+jED/knc+E05YXjYY1PD45yLQnfb+oQlt58L1M
fUBD62D3tXQMp9JQWN3OD/lqRaPoZrpI1jPb9tHBpItb+8hR2EgeT2OIjVrn/TJprfyPOjeqVo5p
VefbWbBSJubvYlk0jSGOqnUscUczT3ai2CtDdQLcfCuJo/oaOaPCLJAj/X29vtqBPlDsi6gKEXzY
oCCRze/Xi2b4z0yOK6xkucC4Dv2jpVa3c4oqtN2Jg/aRT7bvr4vR3iKvbW5fCWD/fC2HCTB+7Wvv
HDU3TU+VpEBgHbzgLPaMOIE6hQnxRhQtI0bJvVBBIAR6HS4+9XYiud+WsB3vA4geYsMZXMzWbme4
V5tRHkLG/+sM94a4aH6dJYOEgn488yG5RSNZ9pMlUGZC20w6VqohaVDqvWjLdB4x69Hp92SdbdLt
ZXFyHKwSetmvrxroggX5HPNJ8m1v3mpp/8WoOn+m9NrwLczqY2m37k9nJFeT+j1zwpasMlMzb4aX
LvMT2f9u6cpHbXnSF+w3bRTCmvRZhdezSNBXvUJdYmmqafKJy1XWpt9ae0tq7a2T2uW2l/jnapkl
bFiYeSnud26u4QBUK29mldjiXryrtTbZipZecybGUUoueaa2yXC41VqaM+t5ESxBVKT8BDW/cjoP
qpp4v6TEq0ZhejIv0imdrVzTqNIfCvSH1kGVb4NSCYiZOt5ZdsCDgC+WEKDE0y9Sk/o4Vqb8EMrV
s6i3J8u9cCzrHY9WBU6ltkhzS3oDz6qsHNXFHW06vO+Omdogutvp/pZbAyv2qZoV4r4revkpvBoj
nuk+jnY14q8OPMsV00SCkGR8433X69htVnkNR3naHVVUK2xD2XWKlxFf9BeB3ebLcUiTZ8ckfYZB
mTO3LTN+ziVsFcwMfIcotg2UqzCTf4rSKNU2CunOURyJ5ovxgEr6HG1k3sXTxk43IEvqJ1HosH9G
ub2+imOTcHzWvUA+iRKfBCVi/M4PomvcAQJsCNVvCR9ITwnrzy23Qi5jHFsFxOrZaL0SzGUr1ZZj
EPyqGxP4XChcVwCFDcJ+omPYq381Tx3NZsTWC0fGP+pzYwo0tHLEg3R8iXBbAVZdxK+tNKjI//Pm
F0UtJ+aphbq38wBpvTIHeJGNIrxAVx9fGiygp2OU1InPWt7yP6ZkqyF8JlNhJjAdEtsG6XzJBSUw
tQ4KD8fOGu2jaB3Jf4ND8p4H0FVXQ6tPZR0nr7piB/uxDkrC8RyUtTikm2AsVuIgI5clUL4Biwcc
Vvao97srb2JMik0ofHmcIEn28WTZIyo1sIRER5GCGb2yfAwJaw1Ro16bSCtRWw6iZcY3vBKNHT7P
Z9KOt5KoKpvOw0Nw4BaaDndIae+V2iDj1eckIBFCfZYaL2SZwEgEgp1tCLkABPNPxai+oewA7CeY
aOK6lV8ivTDWpjtOnLke2UOJV7bT4D5aq7qDL6eTv1cW9CllSqMrDWZRQJe+m26BBWySyc+5b5Jq
0VWVQLbubDoUoraOhCOzGuTBEi3Z7LmKWZrxp+y+E19b3EYq0mibd63+HukwFUyI4Y9NTdSrjoPk
qMkZmbuo9zaBbLln39Kyha1EyWtgSj8SyzI+4v56GwfTq6uElcpbY3Q14KtWujqoPixcfHb3aY/3
G7ZWTwF+EE9thRNUZMGfm6rCSh9nsDZAVk+NBT6aK5zly6Vo5dkYHVqccnk90Zqjp/xU7+9jkY+b
olpRfRDtlpMky8biTya9pU7TPg0YPxYIOL82ho2XrRto2FBS1HLDwqq5KZDurqtXVmJYOUU99AnR
muBxj1Lto+Im5QPUqlt1byb+Ps0mdPTUK8ZEdQl9pF9jwWvsO6mOZ7ohdcdJn2IhV343182xP4o6
sQGK0B/jaTOGtbnA0oku0xEd0r0D2FVaRFmVkWi9N4s60YocHOip1NzLVRzOm250T5XpWcc6s/r5
oI32OyG4nde740s+YuCQuVWxhpMZfPH0EW+J2H6XIDQvUnXUD0GrhJeU9A20XtV6T8PhVcF8AmdC
HETctAPX2AWX+8aq3WPFRGcPmbGwcTl2ou0o4fosusSB9auzF6C6rMvpMTJhNc1MQnWzwqgr7n9R
ZnWxKhK+nsBIh0uFoNlu7IDyCHZAO8TfyxFlJcEcqCkB6fFRc4JVMDjBd9lsgpNgB0xt9dTz/+I4
MYpu9FtbKYOzPEIVkCoS8a4ROQ++0TkPdgV8xDavomaQCfogk1MvRJuoM+161Tv1eBal2IiiTdWh
XOZjApfOTbe6INPbH8NpsMxV7dUI5jtQDfPBx2MFCc2EhYlWmw9qNtrX2ALmQpuoqUxDWrrw2Rdx
hgMyAONwqUEAOSqgsu2yDOdhGJUvSpb+2hN10Kyax6HP52Aogq9O91Mzs/KLlZvp1oLgthTVrhfs
HavRSfbytMI6BimDpAu+hqP8Hcp+e8WbNjsN2mDNRP8q1ZCKyKzu5GhycnVV/UPUG07uMg8oTGRr
uM8cuziIep6tNdqZSbMNjcT7Euok56fLkTopXsdIsK1Fkaszfl9d19n9MpuuAoWZfdFYv66uZSo1
71R3VaGiEhZd9lFYypmIbPZlDDNjYUa9fHRrp9gXGWKPkz3v89gCUSCMkn3ABp9Hda+fG01NFo2u
uUhdepiATHv3TdJIw9pso4NjNn/Wi766rL94uu0/t62+V2JT/eL2BTpkaeQfC6WBHi+72VJNXOu1
V+OzG9jKj1DLHkDFJa+ax8fqykzah9rYHVGngDmq+9UbWPmtxzT6h+LmX7Hm0p/lUkpXdk7wXQtq
+dR5YzCJZrpfI/yxRVfkkHB0cvLqCftbadXqjbeTobKfUY/q56oycBMPeov4+OCCaht1a6uFzoYF
Bp7ciAW9jmlZz7pxiL8aefAtTyr3G5GEU4ZAx0ehjkuZx74/c9ojoicYxTYm8jcwRmZQP1Z6lpQf
ji9fMFNrvmlt8DG2vrGRTKdbyTiPPLqA97L8EbmI7LEtCxagg6usRF076uUZ4tgmzbrs1gO5QlbP
sU4YA4e5IQse/DR0znlggGKe9mDiV4smzoJljdF7svRRGOMXcPalSlKa1yvrRqOIHm6ttQsvKbTr
YBlZiBeR7m4Y569DbnV8q7dDxPi+kinLsA/qVWy30iyUYuns2p26jweAcpGXle9t+AL+2PoWl407
R2xcOfKDmUcdoeV5OTU0w/cEHvJ7aGLj7pWsAzDqji653CGvFoXWt1HPYWQ0/pe8i9pVYIfyVsoN
+cEOfSyjph59az5pcDCfg1T3NuiD2oD3zPK5SZRH0QFJomSGkh+Qs6oq16oUqHwF5IuAYgKvq75Y
YLI3UpzgiowRjNVE/guK/+o21p1uafey8dUcmkVgpcOrW/b6xlbxDRH1pfyt7oP4rcHObd0AP1or
TmB+jbGz/arZRBT6WLbWRdPFb0P8TbRFcJxXLKu1DZYt4+ugVQtRrxgsVENcvol59f4LAeWNOAXx
HWsRSMFaM2NpXho+VmesJfZiL5+K9zrRoPvl/9Gl0x0dPkWjLz4d24O036Fjj6MlEn9iU4bglIsg
1/6oS5MuO3MRGAp7Gl5EvzvjZo8yYKjZ6GwbPz7VqzWUW9+rj5/qXS9Ljw2I/zYyh3kFa3nedd1r
alTltZjIiTYaPvvfVbDeqyvmNLcqsmwlQSRYsRLLWl8flEWOo97VywxtWes9giet46xyTc+PDiu9
DazYfi/X/J6kxd2tZzr5Psl8nL5R+TwaLoo6dZSTwZBw8YvQQr74YYUmgFt6j4nSohAbMhkNVfkE
DCA7l6Ymr0yldWdpargsrG/fhTxs0EhgZWqa6VnUiT03dowdzKCTKGlO6CFllPjFsSIhFcRder7V
hWWChWAixwt/GORHyODerh5LAKyuPhSs9fw5AOjuKlqNuC4WVoA9qChqkd0d8iH7lpWJ/FjpZXNC
bPEQey6qvWoYkNE1oo0o6rrSzdI8dG+tQTeudSdyH8ieek+12ixEL3tk/lLqzONl2IoAv9CaGYyR
PGHnhge/1OuXQMeLeNCQY7aIFI562yxFsamjH3Djh4udtNE1Ze1p1DEgUUfXlrlZ1OheclCCW1VG
xmQjZ/i7WqZRPZQ2UWA9Do6NjCFiVBvBseXlL9rExuvqctmofrk0TWWMAUI3F90wZUy3mROlWDSf
xUbRi2ghFyaGdlqW3uqCekxgK3k+LqAmcMaps6gTezA4y4082b7f61zJdxeovSgzkIf5uGzjntzI
pMGTOE2yCyE1rWPKF45Dzq5tGh5QzrOjau7PIN7xwrA/wsL9qTa9/JKU0ggsqfLPdVbZGxThA7QW
Tf3UKfB3cy0vXpQwD8hvFO0HWF5D05yfWhk+hU9pKeu8oQbztqkTC4W6NrkWUYal6f+ub6fGT3XE
NnBcwaTa8H8WhlepJwc8M5QMeVzqAAuO2agpYCPDDwTOB1RdhmEv9u4by1CStRI1sKixd3Omjc88
BNbjtBtq5VOrkiG+G72JelWCpy/qbp1/9xOt9859qRTLWNbdjQQbbY3Z6gDayAxeVUWS0A6UjW1Y
ecGrHyXvgelUZ17cwas+ZcHj6sVzrZ7QcPIoDhmLSt2RMuzmolPMChbkF2wPorC8UwZeG2MHs8jo
Le3ZDHVlkURDdY4VNd4ocpGAX9DMQxHG8cove+XBgiQ276CTvHWj9UCQfQLyM/0iaTVzYbIHLtMQ
X9fKOXTH+kGveIMkhSIfFLRqd6kteZuxkMdz7qfDYsDI9KXrWCXnX3jmJAfdyEkBhFU3I8AlRwvg
rfHBm6hUTgMVcibKYgMkLwTh0Ix4NEZ/tYgxRHfR53aMKKsSiq1d+zZUenL1J+lrpe+yQ58WSLFR
FU5VIBCMY9jVa1ElNp2uNmdiBTNxzL1e7KmTCvatjh63rr/HRxpsfRtQTojTJVF1tn086kV/eQyk
lWuMFUAszVkbBLb2YxEWuzrrHELwjX+0K01bgYmLLuji2wsWLsNjNhg1CWOtmN65OeZMmrewG3hn
eqQrexRbEDFIJrUQpayjlagMldQubru2h0KzSzRt2MuDCgRNYT2deU312HYxSHDdJVidyMlabjqE
Eftc3w5JWWzTKTIZosi4Gp0yvuSSCGWr3pMuZ8nclKviCz7CPjqhhBZbhElhc6ZMlYe1Oy2iZgAL
l21XIDXmZtbasoeZMQE+2kIKdizA8XubipbfuDP4EtIhjJP25Xe3xgJdaPcwZjJf+9XNrUwX0zK6
OYwm6sVo5tQNXMuf3ZiFmOAExvgQ1XW5lnBp5+sa1MfANMurzxPcrH2jmLsqpIAWRYJd6cTqo2Wm
6ibzDJj8U2cbc5vHFGrP1FXPE6znwbptRFdFruNdIwHXFkXdqjG8dAp101mkhJANkh8TH2VNwzGi
l9xj1dOMqvmlDpkM8/Mr79GIlIRfKz+ktGXOFSO0TaxiZhPmCmdeuWaZgekqeJplFSXFVZIqfV41
UM3LsEWjqUkIHZIEeIdEfsz8hrhFaG+8MrN/kp97dvuweMsTI59bUqE/aKDkVjU6qkczjLRtMyTa
BguG9iRGROonRZTLRTW77f33MmN2yrtrih3fRiwS0DvTiHrr5PNhEinUgUVtxRrn71ZBn+rIiBU7
PyG0PRobH5JimOl9isPOkCwT9IdQ6Za0PLkGdZ49F03xnHWaehrcNn3mKjPAjQYRmalxlDKk7myt
3IlWq6lC9DuNdiNayXoUqDu5Jv6cHEsY1lhVxLr7qjmBoSnAv2vxmx3IB2NyXTEtliee63xJdXOS
Gw2akxNWADNbxWV5XkMIi4p2VmlW/TGuXE/KP8o47gGIIIkl590b1A7n4Erlr03dVMMyzmJt9qnh
U9EsK1ZbkCNF/RhkaIc4WAgmo+4c/JowNOLrLFpDgxV+EfQ/mJEhyNx3P1E+fMFQ3P/iJOgEwyvq
zmHcG5sKXg5cFzs/JySEF8hsm2tTH5w5rze+9mnTQDDYm4qNjlyvYS8uKjNcUTGWHiIy04bL+2sM
ZoHu6Yeuqtwn1+umG0WtMWakmLROuSwbA8uLqTMuAeZ61HTkNqai3zjoOGOGfBvKyp3m5EvNszh0
ZFX8gODR3Jq6mnXTzZn6BKuY9QS8SG+MFnnMwjPTpF57bRIeP9WCdUPvz4Ak9zg/BIgOGIs8GroP
OVceU7KM725rVjPVMp0XHMyGOZ67yaPcyMES4em9k1joBPoDmq3hmG17kDgonyhSNq/LdsdUwwbP
Tqti6fFaMux4kUVu+phMm4HMApmGq6iRXe/gWONWpuno+6ZzVJXMGPHthj4tm26yACLUyQvRXg5E
hLMWveKqcY8hcfl5off2LPXlp8iCfWUiybAeSD+tTDct50JZSAgHhRMBts7yyToeWKs8VvirxOqL
pfPx7Eg9i5JMCB3k9ROeqtVFQXN4V2ZpufBSy3gb2uyHlRjJNXcq6YQ8NElvo+M+wudhikZeySZX
3xK/+WHwnb3xcmnwvgQWEGpNMEex+YLbfHfKIDEtA9sGSexYWGYqXbUtPejWLnqTA25BGAzJ44G7
5asy8oDEBwTHu7r1VqYDwhK9t+CHww+jlZKyiZRQ2hAA/DaUCJsnOgLkBXrov7gsKESmam696oPu
rrE6SddmkTdX38yPsTuo2JBpLP3L5Ltco+xC0Nm/WGFx7SQ/3PZ9YO4R8UYRctoY8dnL37PCr72Z
18EXzYL2Z6euZE1e90HhfPEzt1vWmlzubRYQZ49LnIcNkywNBYcVrtv6uRwbb94Ri4QtVIQoRTt+
NKubyIL2KZ81pRnflcliFfGUdOZaec4/alhlsv3qo7X7zbYDlFU6CGe8UMK1WaKM4spG9+qYwLVK
3W+/e8awLr2CxF2jPbWp7sDSk66emW5qHbGFwUJ0ZIjUeV1jMt0lvr2O0CTfZ33Vb0xb2rljli6V
wdmPcdXOZIIeBGKaftUGmrnK3OaLb6U1Du92MKvSIfiGLtPFNgrrI+fmQcoZD1hk0FeOVNc7pF93
DvzmEx0mM3MYCqd0AJceAQPpPT+8ig0CZcpeilCln6oiSUJWLLGNJbkd5dhZg3KUu/xLb+eXwkyJ
xmflE/Tx+Iyws/ycSQoCXop1UsO8Og5GeelCoDx5Eob7wPkI5SY9yIhOOGE/bD0LBRTg/Zl+kE5u
A1PRN5O3DlTGGmw60kxTURrM8xTZejDVtjs1Zg1xXQLUpkthsCjlxt+rTnNU6sZGs35CHE7ARN9h
jynCjyj3wUgNyBeIerGBjAWeXnQRZcevvjLpT1HRHp573JTORRw+10pWnQi0cieNHRm+rmpfZDsN
Z5AsknUZtD9sMiFXbIK1Y99bUBt1P5gz28gO7F1FI6Lx3bXtLeDKY/SNsD49OsUYtk4Q5bNbOVCt
fjZUagyoLm2XeW8XL4UWNktsMPO1KJqayevHUdCX9Ub4b04+zLsaGihRNi3d33YtVq17V4fpN59A
FfvI0x9IBUtzv8N20Xd2aTVciiE0znYCqrWrl7qj/WBdV8zksP7W6UZ7GeuEtFOGzGcZvI0l92Eo
qfOhCaufnf7Y2RYqP5HvHArSTDNUqNpFH0GeaUKsyAOpcTdY4xFw4na+JCh5XtJpjzT0JVHjAhIn
VaKxzSBKdR3PSlGUVT05SUr5LQLVk+F09lRGcss7CFkoUbQCbzwONsEy3nNPYD67h6TJ5tAgzKc8
k5NZAEyAxHn/p5vcOBXjSOOt65vvf2cmJ3qIBofXw1YbOPtvzzoLpewhiH8Wbm7v+gLtR7vB3wbW
TbIJdBhW8DNhJpdok7HkHlZarhXn0S4tyJZyQwzHuzh1kW0ypur71CYv53P7b3iHkJzLkFJA8HA8
I8qcLd0gkB+aMbJwGerkpzy+liUT0Mmu99q2YbhpdRzhQ8+pz0MwJV+cuHxT3fQoF9zpUdzjtg6c
iSiXNjctLNe1xtA3jTvKG7DS0bzI1HipGFaxVUxGA9w9vTK6gsw081JYy0tVLs0PO08elQGboCqT
ZWxrpGVnhPlPVnknn2fhm9dyhZ0fZUg0Bc2mHOqTza20jlS7W/eGPVxky/YWaECrrzIJStVMwp+p
eSSTBXScm/li9rX1ZvnonBatUj2QYGpWRVxnYF1KsNGEsZhzVZes0pt5WlnRtyLr535Wxh+yX2KC
kAbxswk0cNUifbIfRw2VFgMsr+90Cjn94ajWuv1kO47CI3tFlKt4D3wDeqctFztX7yzwhN2H4kU8
KG0LKL5RmQDhm3CPFHG4JHIznBLHzGetYXwLldx7goo4bBSEU9eInjrPrNGRiky978hYACBMk+Fh
SPQO2k8pr8q0bV7RRd2JHoFZj7DWiM+pXZWtm77ayJYXb9GEMLcK+YcDv2VE6q82z0hPOIsAIf9l
0xN0H9RgOKSEfWd94LhPhq4TDir73YQ96TQUgosetGBfx8cAoB6MmrJelgY21R7f5cLE8XPLy0V6
acLRn9mtTfp7aq0aG8cZQ3+SZcRHSTwwKap5kZZAKjS97bZNQ/R6tJX0zYmtjw6k6aVwQv2Saf4P
zNpTCNDOLAdHPYfHh8KCI5tbTKSGdd9G6YOnTpHrrKm+m4hnJUGjfLDK+SjkwHoukH5aKkr0Zg9l
viDv6VySaQNmGSVVckcb15RUCX2PSlmMJZgl3y2di+joOCbQ/JAk9r0ul3qT6C8PlmkU0S0mrnSx
b2PfBotNzHWac992BJslz1/aWZ4eJa/CgGCMEX5qtfgA6uKrBWDyGGjGMvOrRySog7k6qoexcvZ6
QhzXcmzlmGPqPh8HX1kYdd1vnLhSt/iQDOd82gSbdCDkAsog2OSeEyx0s1FfzQE9/bLvf0KGG/2O
FTuyVs8l8fZZVTvZskMgicdl7I07MghzX5cMjKJybSMPgNjiwlSI1XjWxo2kdM5fnvtVib/4jooM
jI0JjCbnw2GErDpPNNLRoan1i86IiNDLgwWlrmnaWVQ3j4gFJRtRd9/ACvurS2Wr3bKzOm3GbOSo
kyp4tauOMIylBy+TGuWiTQztEjm+s/IhZ7uJsSYjNR4gGKUbz8DxplMLFH+C+tiVWvKIogLzalz2
wF7p/VbUKQnQF9RlgYNK9oWlgPWhqIShxsmOzH7wNGbJuE28y5I07Hw9G3fgsfl2XDIYAaT+QwP2
iIlg9EWqSDt0kHCXLQLMm6To7auMoalsqS2LHpzm4b0SKw1Y4/hBM4+9JDiAGU63wUjAwgbmsSis
UV1ovuMi7tI9eETDHcMkhT+GknmsQSi68NWuUuZlV+bSE9sZ24jRZNbkgd59NjECwNzQZ5KHENcz
Ll8E0SP9if+PCUZnjsJ7erGbyUm5ebYgI1+IfCa3TUFeelGgELYcpl6iISwq91Tn30UBa1d5ScI0
WlhWOV5QmHJmmlL3ZFm08XKrkw1zrca2Dv6VLqKB1YJ+NoBITjV5F0Zz2cDAvZaa8tA7VnFomvjX
XozUAgrdyDAieg1IWfS57fIk4n8Vy+0q5k14LA38jCXZyNeJ4riwKtnwN3C2TW0Rv0/Ho1GavACS
8FoXUsTtz2ORGayFty0K3RibQCEpDesq6mo7I9BYIVsa2irLpMolSUdUF9TfepTTdJEVw6lBDugi
o2ww11zfu/pc9ZrQXEy2sEM13xsvNmCiAzdd1SkLdAV1XtOuvndyNVnXof7W+m109NsfBMHLU9wM
+cqxXdRiAhyIKhfRTbGHpjIyOWL3vqmtU1/0A6FT7Ed6UzYxmrDQq5biNxdVlK8G9hYzQ5fqF573
yrwOXe+xsEuc2sLSPZsyf4ogQrQniPZmgxux2hi8Wqai2HSIesCCdLI+m4kmtSdunXYLqYvVi1Y9
BPokzgTdHXsevuCbdpNMOG4LK4z0xQiphFWvOoX6MHATAktiU/gK0wLfbFaKJ2s3AaeybrBf7VX0
hSYJJ9Gvw9cKvWjzEGXoCOShFy8aS9F3dQBf3wHM9aT4ZvXAcnom90n2hPLjEpikdJ0m6m5TKa9a
7BSHMgncW9HIk2QeDl24QsAFj5W07aUldq3SOgam+1Dp2XeoE2DE0q7bca8Fs45M1dXIIvByTjyu
DccFcFVKLz7eVg/dkMz1pqyevGEon7LEvuSICZ9yTyqfHK0z5u0wNDxhKdq24q5JUYQLt3ZPRpZ3
xzYf3FOKvTz6nOGrl4TlNpD9HOKGF72aEbFJ4pDBRrRG8KjByJMqE62uhHFVGkmPsq3LD7w/NqK6
t9r0EPsZyCYWmgAkRx/xBjKYhlbFC/gQ5rMRRwh4q2iHw6gyn5OK2DdAM3lhT0VjkJV1nvF6lyLL
eE5gKQEJVeKlOFZ1Wm+NwnezvB3bgBzmba+h8EtnZnjVKhtdD500horaPkC0Hf6XKKqYVC5R5pdX
onPagUnXkR29tcpelBK68fP17di+dxcI/shr0VmDTLEofdu9tcZm1SwsaPYb0VkOOkBP7ZSGFecd
fWmu13W0Bje6MSynPbfeYK2SYMwPdrTPiNA94fbVKnL3NDFpnpKyfyE/5xwzlAU2KDygrq/13bmp
4y2UdmdvaRJqLKKuVt6LEWbWrarVuuikg1Rw5VwNkC5N9T3ZkZ3d2d1Z9E/LIF6wfg4wbMfdxEo7
pngBeWI5jLGtI3eRKP33NDfa9zz3VYzRNeMMLz3cBOhG1aTDLo0RPTcyVmGmk6o7YurtPHR677Uk
dLzS0DlYiValwvajLmLcRabWTAfSV2XtxQts7aV5r4rE26h+hmh5R9guTMxyUUlFuQbNzHvL9sZh
52BTYSxDw/prN552dSUp1PkfHf7Y1RMlX0UT28szHjC39V5MPh6k5WEhIQP0ovFvu7oxRkRTSTI6
/Rx6w4MohWOanQrQeaIExso4aDj0zIJJMX0sEXmy+x6982lUDDq11aSutQhNSTsPrvxro0tbS+q8
872aCX++i13AlFOne32so7noD4E5/9SQeaE8K9xkWN87iy7EI1jrmGjN/z6d27JgNEpFecaYYAW/
e3izR9NdjLXTHQYllY+ySrirUQEOhqyR/QGxiWDyERKbYrIVEnuxZkw6GBjDjhaOQqJO+b0XZ1OS
ucWe9lOD6CxaUe3F9GMaWRyG56+HjgJCFssREPVt1IrYMrAnklLNDCTzIhrGdJdVwa8N3MB0R+Q7
3Ym9e8O9373hU7//oMt9eOBmCN6L8e/HieK9z/1M/0GXT0Pdj/3Hq/zHs92v4N7l0/CVJ/11+f94
pvsw9y6fhrl3+e++j38c5l+fSRwmvg+lHfB39IMHUXW/jHvxH0/xj13uDZ++8v9+qPvH+DTU313p
py5/d7ZPdf8fr/Qfh/rXV2p7fsnsUMsw7R2Y2gXTbSg2/6L8R1NU+RyVkiO8HXUrN3qU/Vm+HfDH
YX97BlEphrqN8u/63896v2q5w4VmeW/5c6R/N96/Oz+LGZbenR4yO7+f8Tbq5+/hz9r/1/Pezvjn
JxFnr4fxYhRdu7p/2vtVfaq7Fz9f6D8eIhr+uPT7EKIlnn7yT3Wi4T+o+w+6/PdD2U6JdG6pvQ+S
EewbqZ0UEgGb7ePfG9ESDUOxU7WLqBY1Yq8SB9z7mm4Z7kVzSQJp68TYsmmd95BpjT73KgNuVW1I
1yyI/4e082qOG1a29S9iFXN4nRwVLMnphWV728w589efDxhZlH2976lb1w8ooLuBGY9mSKKxei0I
1NrxmV0wRLZilJZUEvbgW4Rfzpkj0z5x+v5L+qXdhydqN9cwYkmbbJoRtgzbBATWQrZ/gS76HlKP
9L5ylfQ4uB6CzwN1vq6d3BoYKtNrmcNAKqKMJEFJTnojRwHOFqiXm0269cT82QOgInPWQS0jlyrD
kTrnUle3t0AfVslNY0UuPMkW9SXFjMQOO3twmIip7sIELVcXvhuL+vmhujdJGnBuH1PdI4ZT5FT3
lZZW95rWGfvArICuy9m90UwHvwLZ8G62M3oAk/PuC+SCrCgnNnaJLJHVPi5ryaXDwWhIagbn23pR
VnWXOE+h5f39kjIsH4fxqvNgcQszZ7Zojn7w1HqkiBm9oEAo1N/E6qFHpkT9nXB9p1J/NU/D3uLv
dgaUG1zCRmjZ+xaTpFFOX9wVOBFP8cxTNnSgKtyyoug0h+mjcI5l5YS3gadFHmgYYS+B40JwRfLq
NkMal2mKMydrDj3a7bs5t8hmqrdDmuXnvyfO2hQeu1h5/GstObQK+0qm2zpqjYVWfYrQ2qwOwV3U
ZcGd7AH2CtBtrYO9D2SWc228i0PGDd6cXGcqS0XoMvO2kNF/cN0kJW8amSfZzKTOTigjmyfZQzBt
OmZKtpLO7C1MDn3TDHIKTphRUByN2Kyy6j0VeBlqYyHEY12l3/WKot1Ja4+Y3BZMrbGWjptXhMve
MKukvPXgImOXCE6c7J1SQukBXuM1dvEmWviEyJBOwvYPpzEX5sHU3W+L3QZPqMOnlRec8vjqXnqW
F/PQMARVN0BhIt712/u6DXNK9Sg1dLfyTVhOoPOJ1BkMW65/ko1VFCjW39rFOiQ21oKaELKFIjYD
2YLw9YTy3ZwOyrsFzKokYZAOqXJb8Dbp3YL1CNerAkPDRocZ/WyKJo7L7iyHsrc0f9mo04M2lo3Y
enH8Py2wTLu9hj56uwJqu5yNTz1eMraIKCDr2UOohvlDbOXsrmIEJaSDfFuCBjUitUKcEl5a90Qp
wJyv5Bjs6avRscJnhBbUnbSDHvNOy4wltpbClnIZOXeJ+WtYBiPVGF57nNXki9LlnGSUFkxuZpw8
RQDUjq5D0kDlG/ap6o2DjKCAy2PP7YUPjoCx5wXVdaWd1kCqHCj8BZykF3CSbgLUU86lzdGj6Epj
Kzyyt8TIKc24c0bkm5ZQaf7XMJIQlWWlVJ3v/L6dHmfPejDbbHiu2HCfSlOvt1Od5t8C0+JICYAV
qbMJkjdxBKUm/ufKAriaVNCvxW3rr5R2OkqwsUQhy6ZtXH9tWV62XWwStpxTVbfNwG+tpeMGT/Y9
P94bLl/9d6DnoO2TI8yL32+BHVXcTQRjLgJX/smrPO/EztXMV7IrG7jYLSAEDZr2N2tNFfRY6dbO
WCIhO/WR4RQxnBshEysaOd2t2giAJWmB0m5GGENzCNXVOWiRzYmau7qE91n2ZFNOGdW2uQmqw29e
HclbLw0AOcDkbO5lsGoYyEEnIZyordPcj3n6MfY9B/LhFMipkk7ohvy2xRxl3UtHKHr/zZ6N+cf0
bY2kfyZtWV5ar0yucP8n1652No1H6hNSr1eTdM7VMIMnabTyCAntRZ3daVjJmGYAQc25J8rwuZdQ
HyjWyvq2ifaym3bWTzfSi/07m3yp+FcJL/hF9hVSpuNoZBDdmd4pE81oazBSLmPZQycYXRK7Ofxt
V3rv9C/baIX+SUH0CU13EXNbVVrlWM6RTT9RerKWnqqa1AOnyr1law+mGZYfW/LNoQqQ3U5D84Ws
R2t35ccgyFUU1Adw/WrxUUNC/t4a7Cc5Iy7d9FqXPDSWJtlau+NCY1JyfQ7z0D/LXjaUX6fAtXdy
NEyVfw4aIMnc3H+HxG+9xTYAM0VgxEd9QngXx22yXEeu+NfLtVTrbPI2E5z4f8xbgl/nRioqFE60
U8Oo2FezGTwqag0LfeWln8nefbFGU/uFuLZnmRz9ukH8lDpJ+8XrE4504j78EMYu10wrVs52a6fn
v9bpIP06h0MN3w1f4oumNs5xUEryT9AOrFrEcy4R8hLTtYMVcNfHQC/BItj1pzhRvG0KW9fKIVHO
gWmWbAej7C6daDise98sNhmiqdo2qV3luNjlhGUow6QtLw37MCceWm1/LGmV8/tXWOYbMccRbZY9
+JZFIVSKuIMDK/leDlO1zO68LL0DYJuU6y5HzSIIUdsKjRaerxEFLs2IxhWkWgMH5380BXq96L1a
cHuvpCseNHisZbcMMlRgK9Jq74x+VdhbY4hBuXlNt4u0RBMlB+GTbDoTAgm07h/lKKggwFkiBhE2
EBE58+8InprAP2rIe2tV3mw4dgyutSRJqtqUx3a/GLfSCHVmeJ0kIVIqgqTxv8csc5aYRtAuSUcc
G8FBBasHg1BpvMAVkvha+dI3KNH9Hvz2VEql7HKqoyiGEdc9Iyi2MVQOa3kZXK6KxQQzbigci+12
HRUOc/JJpIvLqmyWpRbHMm1ZagkuEGwiX5vlXNfb+Yla/3HlcuJ+mhP0YvTMCThrpaQodfyuWjdw
lYSd/mEUTogx3HWngcyWsaNiW+eoEXq3hdFXHKtEZ7fWo3vpjUr+InkGjbkcOpzM35nBeEY4SH2q
p21PfUwDkg7IgpA7dwtj43d2eMwRurhkDixc7InKZCO7EItPzcotQHZShlrv2ikfm1VlqK+hN/8y
VfaGSHAwTOxV5JAsO9VMIyC8RCk+uFQb3/mtoT1PHHqujcQxj6CmtOewdlzY7gMfxekSqjDVHNa2
OH21kHw9Wkb1o5pVl+2qsIFpDACBdfVxFuewsjEDzTxGbftDjjpxZitjI0p3/hkr1lymy55cVyuU
+ghLV3oek6Gifp3nKY3P4d6sAcxIW69Rrdl6vrefq0K5K6nT3U5tj9rcGJTrscm00yybtAHgVAg5
wZU0vHMJfwHXxynI+teeDHkXbSTR57xQ6wPonfqkqxBLvqkNSslBOSyi4syxSHiWplaqEjYZR2e2
mgsK/t/6hDK4tqmcU0Yd6DGShe9mjFp5tmwnON8WkJ5llTmH7nrz9jamvuGgfA7StRWVPzlKLZ84
gaqeFCX9yll/fzHFSFOt8QBkEikrEVFWevVURN0G6vP5QcZr1YwQ8UiJlHQqlt086i2pezFdTvL9
VANwhNb37QXcNLtmuUVtv1GW64FUycpOvOIsg0ERzEd9olJIvj4KEepxcjmWhLja6Y1PXVMbV0cB
HiuHTgCp8txSlSOHlec0K9VMnGseKOqn1zl9rxlXJYNn3K8849Myh4fY+EHXUfsL4bSMnPR7Bgbn
vhANR5jafahn1nYU6qWLTToys0AnIUHlRw5lI0NCM3oaQSeeFpPsUTM62iRnlnU4O3RPfg7l79vL
3SJ1as390QPrKt6CbEbHhEE9D/eDr7Rni71nCduA3p71sT7YQzAdXK1toafFlOq2QdWKHMuutN7m
yOl2wyEiUNyq2YYz+OeuLf4xoVCp+Uwi5aB1bCFkk/aBD+pKjBtV0W9Gyl1e3UvgX7ZZzOjsznud
LN2mkep7DVz+30tbqedmaHv+sWxJ6cvBmOBvhBck3SQoznzWOm/gTmsi0mkHxWfNfYEU2fkItVl9
bWIkA50xzT/n/lRu3YDycrbYED3X6sopVG3jCWQ+UtD52RLITdmTthkgOrBi4ZFN8daTQ2jScHtW
Ci3PIG68xXBUeWa+wEvdPWhh1j/omuVvhgHFm8Vmq1VwbUp/L00DRZewzApKV2Nyx6M0yiaGGGJv
A+gQPNfdw9LYT3HrFw+gMx22ihZFnEVTewDuecEqttVrZoFmo8R0E0OveSg5rf7YNXxCTWwhOSyU
mKn/pbra79qzKYZDC4KVCmH/Ir22G34bJm+6k1NBwN5ntV49SJ9rlvvOtNMP0hcp7QoETvqseZr3
MiA/DMOLZyvPEUx5DwA2m3Phg0gVowxqg1uv81JECLS+OUrHaAX1g1e73QEmLZ5HRPDi6ELlqGpm
h+AFYTIWHFuw6wKAKUusXB0RuSoJw9vsmy+sgWMohrZVgsDfeUMID0EaFPeyUS2koeYWAV05RND4
1dGUDdQ0qhrsluBceJGcGDZhUkI997ZKMmrFfRDq3nboSgSC3hxyhjWQtYsVBzImU9nZMG0feR37
mGuoxghySlUI7CHLhVawpLVcxosb4UIIL+V4atvq0JgUL4fJvC84/4flKegffEPn+yZ6RnKN0QC8
50z51RL7xSCyPvyBZIBw9GVbU8EAmJRs8dZXUur0Yw+eQAhoj4PXOg+TaKjKRQW4JjuWapHzEGaW
82BpvrNvx8RZLTZTU7QLFU5naZJTZSw0Nqs210MwiqwmnVoQRLeXWWzLy3g9Fcc93DRnL3T6I4XZ
FKen5fzJ5pF7k5kd+UgxdGGjomzffBx7pXlKTGcfqPoM1qQPzikI03Ukh6aTbNMuaA7SG1Xjt9gX
R/Wgc14qvr0yCm4ViO/ZECJawdJVo+U7aDmivRzOcQWKUgu9qxxqNYhPJf+UG2F3x50qvU1CnwXm
YZgatjKqNCxlVdfg+eUwdyDs1BHcNiu+tnZZoLQAHdCxKZ18z0XXeOKwgSs5RAL/iWzotyHE/w5H
4Lh2kPq+/yvWhCcALRZi8xSVdx4fNxTveptWnY1zLxrZk02EFNXZqUK/ggMdjwLcatUbSQvhJsOk
bj4YXht/GpLWi5/LvGs/lWr3U+uinetU1WM5qPozZenAI+uGJ8UoNJ5H0B6bwBr8vfRGJvt9VEsM
ABgETyh/nxMfmFQigmtyiA+UgJ+kU86Pqx+py25IWsIy/hLUCgzXIlopIfafIZZXLUvdpPzUPsiG
4ivVCj8MVl9+oJhzJpekQnY5+0m6dlO2q7lpQoz6Ft/2xd4ILetOd/SffoYg2Tho6f1QcKXkcRJ2
fNCI951opGPMc/sYjNlLa1e/TWJCnrvltbbj9S2+s4NTHM7XTlKUCvJ52Vua9h+2KbP+t7hlWhzz
/S+UdtyYaZCAlfZh3JlMKoZFzanehDqMQTSy15eck6zk+C83WNDoEEb+RdpvK8gpf8UttncxJVwd
O34PPzW10nnI4IXfvdIyRfb+fje5SW5o5LFu9V8D5YrL2jLOCBVrW3FVgakbjYD14MIqzbc2KXeW
4JaWY6hNIsDDABoX2zAaaBi9G4uJnTTKOUtTu058KstBeQQ4aD31Tf5DKazhIkekXPUdezNr0/O9
eUI45BAlxXjJO1dDJYdKjcmOdfRNc/1e2mTT5xYkl65ebOWwVGawu1U/H8nZ8v3v6vAjaOiICjWt
QyuwyHemN3XXJGk86lSi4KQI5lcWJXENQCic6wAMehDey56lc7cptA525D8dqIyRPfatT9Juz1kM
DYUI0dJfzcBBklwjK9wQcohR5zKn2CjIUht6W1jG1hMHBv6PFGGSc9amxdkZ48fItLJ9/GaS9squ
w3L1d3ekoh0rH/RttvS/C3pbTdr++5Kl7/1evS2DPSAnd6sNXn5t0qiHaIFKg5Iak1Vk9+HPHJgn
RUS/+Mt8NuDG+jRrRbvxNTe9LwqYBCH30w+TXWn3Ns9oG7vvyjWl+x6HD+18CU3g2bs6pJTIaZxx
884ou7IxAgDqfWv4wLXAbIPt1ufL4p6guO9Wnc/HhG7yt8URQQ+LEhual2pWfOBuy+UYOlI5olLC
PDfF/EWOZDOUpvjSDPVWb6big7SpEUQw9ezy48bkI5rNUW20lT5TmKA/0fezYnTrxZZlrbuaesDq
y0Jj8t3X0C6/rUo52IkyuXgl15C23INb1k/HeCdtPBxF60qP2gM8I/dFOSHxgczSh96zxyu8mddY
jCiTrz5MsPDvIE2bN3IoG3L4PwHKx2QnCUsby7v3OfGWk6Sppdp6D7NBv64hhqZOeJxAkvlIM46l
fp+CjjfLObprxUja9dA2zzw7nOTIVWcTlKI+VXsHya2VNN6aRtXvfR2pMKODaU7awkE17swpXjVZ
HW9tT6nuotLidBZq3kPqaMYd/28XwLOjvfQ2Byhqb4b/mUptnUGGQjF3b55yMyq+hRWFqy6sVJAd
Kco2mSvnYsJQcvIa1dw7JEUeeuohN1CwqJ+sIvrOCVf9y4n3KGoEO64z9d6heu6h83R7XVQBNrvr
vFXBs/mla72T9NpKAuN9OvEVR2vUPqhgIY8pEjcbQ6/tC2XzP6FUCCmg0JD0FqalWWw2HO2HQu2o
NydC2pVxKnu4rH9Po3bz/2e5f72qtIl3yL5L3wYg5WtxfNmKphMnr7Kh2GgTA/i9LCYZEeiTtut0
lT+oiJU2OV8OKQT9AN7dOsrRsi5VMjlcIPuCcqlTB6xcyCxnz1WfUizqfIXK3rtvOGGbmrw6FLoa
3eVDS/WvZdiPZINQnvJ8yJXQIV0hi2F9Ha3uaUj4Bitjs7YGzjjZ5Z9v/KrvqFZld/IyfVtXJqUy
gllVNywa2RONDJkFO2snstbRnP2a9XK654oGzfUY9t8pVjlVlFV+CiA32lNf3h+qyI+RsVG/W3zH
DrnrQL9TOMXHkQKkvefO01YOm7Httwg15Xs59Och3qiWER/l0NMF+RVCF+eJS+XHACYryo2g3qpU
Vbmi/wyuOYd+rVJd/WXU8tdhLfKtcuglng8VWf/qlcPsoTS3U6D+7OfZg/nVVlEdSk2wvm2egI4e
2MHYGool/Gc2mdKrVzmSTRZmgshC/xkPRp5tR+eo2yT6SRsYlMOoxq0nHtYpjKkGDoEoNJMOU8/N
m5efmkmJkohOa0vflvoA9+yb26sso9zIFW/LUlm7mnJf2bZIxaz7tC9OVpKhE4hc7GYGf/5dtSBh
0L2vyjxY21kLo1NXu/mTkRjfEfHM9mUQgNPpguIqG9cf28vg3svB1FRVt1mchhJoa6tGYmnsquEA
oeFHP68oJvRqfeXpjnLXCsEQTgOC+zyFbcnSjHf2ssoDczW4kE9GbUfegDA5Cwba/jj3KF1yfBF/
6XQ4Km3L/dYOATe6pIQnvqcuoxvaHs6IwvsGTdA3rezrJ9OYkhOPStoWiufhW8LjcWp430wydZzU
lipYWF37YM7uTzmPfQC3b8pOHkcqHjmP6Ezuu5F1oyRTxydTs7WvVJSi3QlE5Ci3jrLJ2AqFTslt
SuwmZRNVlH2qbYVAeO64MA2Xs3MtPXsjN6FuLOTa8mCt+a163ySxel80/pc6CrSjHMlGOuPEXw3U
xl0Xu6Hr5qUrjblCqlJtvI/2bMxX24+mVa8iKjhDMrf19NHdy2GmWC+9XqxRY0UTQ9DWmFoc8qnp
4UX2kjnMmpXsBoGbNKvFpbotm5ZaAxnOlHeBr11k/1Zma3uwOc7jJRZNQBYm39TG8Nkp7G4vHahv
+UifRMUn28ypOCzrsOFvPYAekt1Q0O7EQtRC3HAut0Yw+dzGt6COIzcNrS8IsQRmWqKiG/jcNLaf
oYPGKLzUCqli9Fxn/dAK7Z4GuDx39dg4tJmuv6i9/+qF+i4+TQPKcDwnuCtq6YLvs5Ps69g0f8Gw
f2zijiQfJA1sH/2j3TjFg0zkp3o1r9QgD89yGGhhuK1UqMncxHlpxhl9pGT+avtuuUvbkeSj59Sf
hb2o9OkrJbPQsvIV5nhnXYGQOhXqGH023QQyY6957iZYILOo/ynNbjaE+9IYV1Z2sNmjnWDuhqlZ
9Mw/h5MyDkK+EPetewsPgVshHQ557tucv9a5RWvIC+SrZc3Acx4d6iD2de4MFyUoBgTvkbKyBu2+
Q8vcRMwXm/Qm6jhcZFPU+bMyBs4+aWLbv0ob1CBgaPSyXskZgEwi0tNi1Sqfk4PG+U+J+Cta39Qk
lemwS96KufgDOvNKeq0o/lI0aneYW02nqkHMiMKWk6DSjqjSewuUVWBQ+tgAzL6xjU0SqC17HmhK
HkLqlkOMvVIn9q6Ezwy2a11TN0HQ/ipLUvlKWqETSN0LlRX1q9g7/1d63fDqkALwN5tgyPjL4eYO
xa/LMjJaqsTfhOP/XP9fyyy2m3z824zcglmF3y7vJhLvJhLy0DJ6ea9WqH8IzNxYaUpTbcgxFA8o
jOUPjuiBL6CAyb6XFtnMISpy9WA770K9tJ3YDx1uU95WGKsp4zLmd1s5Uy5tump/N5HLkiYz60MU
LyyTNHIUxrs5tgJvpXFfvZbusNXkUM7LyrTgOFM1d2pA2Thlfn13iUCELu9Mvjr1vg4X/LnfLw6v
7fpzQ9Lx9jZMVYiAKRuUm53HjLRT55Eo1a3KfUwbz7yCezlJnypMxeBA1GFMPB2JoXS0ZTdsa83z
NnrMc/iaHZy/avALNWjnFsMf9d6GvOciV+Gq0D2iZrP4wf61R1hdro6bHNyos+5aq0i5v2YcgWqN
CkQHZoO7eDatO9lzg9o4Bm37dIuTU4Ih/U/u5/Mh459B4psZDj+JQ9sY0coWq8q4ZSmBC52csjjd
XlKDKyOiKmsziNPGoe8CSvDK8iCHaJ0jBGxRiiSHbgbVR909IRjgntGXcG7NX0PpkLbei6NdOYUx
zINg/4x4SFfo29SPaMzVj1HMmZdZ6lR8DVPNx0xDncl7mwzmLthu0gG2DjmUcXJuG/PsYZJgvs39
a72mCdt92VCLraF6fjaL/rXxOuc88NBACTxMSxRT/XYIyfIKIQToOK24Keod3OVwTkAzWGlVsJEr
vOvKZWW09PgwiPBDQxppVhGPQnwTScwyQxO+jb0LJdMk2QYLtfRyyNTNbUwVqnu5RU1eAIOFHX5/
57HkpELMh/Wc7Td1gjyGpzyvmLWvnGeqCnm+orGSUkGGmVM/CH107ZSMZXSJqHOFfd44xVm6C8hx
HmKHsqq5rKwTZ7b2ITCHD4oxUGUNK/LKmPt2xwZq+pqQRaD+dPqsB3Ai8A1pd3Xa3+y5Xc83+5Dp
7+wyfgZOcos30065oqoIJcsIfdJQVXe1UNdNE7bHbTlFp1lo7w4O0gIaAnq7RojtGmxcDvyiwo30
BlCzXnw74QYl5lb5ZD+oSnToRCwaB+7JDfyPUJjOj43dG6umhrUHLrgVjN3GN0PrkMcI+gg6c5MS
V73RV2nsJXd9VKZPKC7dV7CJfwFmle/soFEgWPPKLx6VzOSPSor90GjnwB/VxOxKiWZ9hboaAaEK
EaDBrW+mwA4hKOIkv75qtUIuLQOeLYNljHTIoWxKhzp2P0CRJwgF58sSKHuKoHQuhh/L8tIsF1ls
Qxh97Zwv6VjMu9poAm1XzTZFiwrbtQ1CpNWa62jDY5RwWXFSXcbO4CqeeXG6I4GUrf6PWWCp4pPh
GZvbInK9W5CZ9J80xagPsRFHd0tjF6Coh2m9WKBHiu7gsUQrYY6sZ1KSwVHalhDZa0p3XvuapmwW
hza5TCNrGuytPqPuULzYzSi7RQ2yA/amjZGa79+F4ZCK68rum1snwynwp/7kqc5rI21yKB3L8F1I
XCnp6t34bRll9s21j6wWgkYsuEz+r2s5Ik5py/CAZvMRao95H41OuKoFhVYLsz9UAG65KRXPOOeh
B/WWpNpKII26JpzvrCcrItnr15OKyiVz1II/yjTrZxkC/UAEsxICTEFQWocxdRyeHmvlyzBoRyrn
YONWw5HDL8FdLuzVXP00Epg6ojjU78rWPDVhtxuU/hQ3VvE9zNyGu6ShvESxWW3GRhkebNWK9g7c
GmcX6Yl1l04l0nY65Pdt+y1rnPjFKBXnoaCQOIfu7cXnPOa5CE7SJRuoH4A0qw26gUTzXPHYNOYK
zd0fFVrBzwnitihXKGs5shAzenZGfmRu0m0mnrU3jrGylSh5CsKuf0rGLN64md/u08zun9SiiK9c
AT9Kp2zGwP/q8rR4kSPoOJx9Y1K7GaukhdYs5orFPCd8XWxu0m5PIvg6dS0HfnPBM4wg8elhyAZz
IoYwn2ydVt9XKWxAUaQM3IR/K/FIYRwtbSB2tsCXLo6qKb8h8+JAsUwWQMlCTpnG5EEirUAZ3ldt
ljxIEJbwNWIkfUEc3zdqqq6mlqcOx2pLjgsTdQVWv/zgFGbxgWdpiiXyOd/LoXQYBXXCcezcSVNj
9fVFb53nW7yYFChCLjVg05NOfZyuB7P9HntBd5YhnGS49+1sr5cJmtquVS6Sl0YzV4nDQ3BSRr0F
VXDqH71MuY/rQGGzBPDzDsmy/i4bGs7/1ZSiFR8qz73hULOARlG9933N4EP0m3VlhRyRiZtpqidw
G8fI/oiRbKSzEBFL2P/dNvWo8I0Nxb2Jsi1sF3ZC9tQudCPbKc7c8ziG1T0aJdUaldbsx/8ekbHG
+OcanVahSWIUwaFK0vapmZTPPu/xUohRnXfhYR5Gba0oZvNkFGP7lKSfdTNNPkiLhcYISobWsJO+
aPKcO3OEJylo2sc01oE1V+Yde1OUubO+/z5wyw4tJf7cOp6xazwjOhaJat91XAzswfXPNbe5mnJd
uuPsKVu3BACJ6rsLHeaM2NLc6i8T1Eu3od7b+kvX+8674eKVwf+am5P7O8B5m816e5GNp8J8wE23
gMrxt0321A7GC1LBPqcguQB4ThmyuirMkpubsRNo0rhzDpltzKe5hB1bkrJ3KCBxT3Kee21WDlPf
AdXP9eiLWhlrSD/D7wAngYNF7ovuxEgklmBwkh5iVyO6swZFv0tgkKG4iZ/JJQvK7c1px61ztAP1
U0hJA0c9/sei4RLh2XO37xGw2RTebDxXodmcOf7oV3KoQw7+EDUJIj210q0N45Oml92T9NUQLCRK
Fd7JkVZO5dq9myMu5Q9w4LjnKVGSNQAA5EUme7r21WyskVsKvzuGs+NJyfrUtyWsIjoMWfakhB9L
IQgmAuTMRAiT1COMTnImj9bR97mydvnkWJ+GYSj3fbINA6i/ZxDD9X+iCp3DqdWUj3Y/fK+tOrmX
I1X/2HSt+gKkrnvkcO2apgXK353PSaaeBms51PMh2wMFtrfg9D5n1Mcfq9rOZ1D2ynwoQV3rKakh
VTRWOMI59dYbM5gy2AwMO+mQjVam9i3OgfDjDGnYepmfNhyiIH/UNTBA+OHOyVHRGt2OnXE9JXde
p+pcMVPtA0zNwzopG5cPfQ5WjVOb0HEZ47p0g+Jsd1Xl3rqZXxZnzbVIQTsljIzKj86AnZuEW4HU
0AgMfOIuVRgDsjhdOzzpvtAMz8z4R+r7a1KP3a8s7h9MyKi+zBM/GNOoyofWS8pDP9jkCLVMvzPi
St2EGgf2cHZ/k5Mm91jCQvTTsYZsFap5/ZL3CK3Xjt+v6gAFcM4HexhF+c01k1kf2sTunslJCK0x
sO3SWxdhwCGP+UM6nSLwnvhgpEs2yJ1/RL/bu8qRYTfu2nAHEGdiaaiL/7mWdFbK7P65VoTgiWlo
3tUUk+Vasf4cpJm5kWm33upS1I2i9jVf927cj4q7zjoYhxrxbN3qcH/M8MEc4IqwnlMtdnZVnyfb
Vjxr93EN9a3CFbgXQ3U05juy1pz7MlK0Un8ak0c5US7mWOURBY+Bex5+BIIqqrUy7yzXUo3x368U
vJRBxK3HCPxbE+itBXQ0TKJd1zfdSnq8vnp1y+EtRs0a7QjO47hMjkt2FgH8QSttMriM1mDczrqN
thkwVs4CU66vwuQL2nM11KYIWSa6t+gsAlyraPFphiJPdbUvlhoCM247fzcExfTVmOGe+m3uKph2
pVl1/mn+I1oukouc3h/R0hzG8X+8Am7jUXX7Azsna5/ARv9sTsGP3q6nH5CEfFAgIPpo6rFFcZWl
UrlZs/3p5nklI6BZ3A29RzWnH5YA2rtPRqyNa4MT+CtPkzCvqkpbXOW4Azc+CF4ob/jBozWyXYX5
Kw/KO3Rl3C+DXqN2VJHVdsin7mt4dk5O0ymXvvf07VwMzTPE5gO8cs34o6gNceExf5EY2sM6vOpy
b37uAbbAT6KC8RKfmlUD9/iHHQ21a2uW6nPgwgU7WNZrfIRQ1BK/2EV8L+J9h3i5vvxA/4xfXjdg
nb/i5fv5M/4f68v3X4v370zFduQA5dnwrJ+h0Q0/Olig5yRFH8ZdUUkXQfhv5QdSBvoP9NP/M8am
c4LktueB07IOsAfFO9/1p6/wtUHFViufHB3O40rYES+evsLIszbf7DmFdje7iJ9dsz+QPWlXGYIr
58ZM6nqVZop9rgbDQcCj1zfSIxvpWIayVzcGU/5yF3F36sJxPCz2SRssMmWh+oTqMrxMWaJ/Kfvm
xeVU9Rd8u5niwDfWzcNhRKNmPULDsktLr4bajwY9rfoih7InG2XguDww2wYmFG5JCiVa5dxeZZOU
XnuNRCOHvjVaayhe2s1iq82OPLYcB8oc7wwzmFdynpwiHVMJqyw1nTX0/o76pZ8NpN7q4KVwrejS
D452s08xFCdjaiOnqaJIwt7AvOsH6F+SNDtVToeKegqaa+/lCHfD3a5cSPRSN+dQijwbgv8un5/G
iO2NV7DdcqYn1EHmJxftAkpKe8QXhY2ymwlhVx44IpsyP1t/oLhtempHDwpcYBkwH3t1tQ5Gl4qC
VL+TXjsSdVagxLaaEc5PHURcYjfMw2S7NlTD+xyH0ycNXsJfafLgwGQYrGwbfMQs6gSh1d92Kc8t
egHsoFe7rzoVbsMe5bnwDgooscU0BqR8YeIaD6oTggzQIHZTq/IkRyOpkXvZq+6bvhpvfYV77MbS
Uz6zESAQNfxUDWUBpecVlYnXOi/HYl/3E4/MEOqtOZwcrxZlWzlcUDD9GP13vynWYzmZ8N2WyjZQ
s+iU/A9h57EkN5Kt6Vdp6/WFXcChx6ZnEVplRKRkZm5gVAWtNZ5+PnhUMUl2W/UGhB93RzBDAO7n
/ELrp4fajJCcRVhuN6imu3aaoN44A46xmuIPL008Cz42WbAXUTu8jE6kLdgAZvgw0DuVMU8UDPCM
NBxwKSl5Yvw4YAL5Z5P9UXRQ3BI9erSAztCguufabpesRaiaRBq3jdjHE2duwrNH9K7LVtGg8yfp
9qyumYMlJgW/topavBbK7CFex+6Fglt1NECX4A2ldPAlg2DDxZtF2cCOyBxH3MsDi/uLrmpIGfpo
l93iyA4YSnGtQW7f5wnElFBMyG7/NcUIy568YfD6EZoQ6dypOgntj8tQJ8XYhifjbWqNMOUymdps
pXkYIVeAce7iSeifkOIvfbX5lJvCPzuIeS5kWI0FDhqG9aqhakm939lgwQ5uKiahuFLEDFdWs30V
V66yaqOKPVKeGZup09KLE/vZ7ZBidYIxNBLYFlCUcw6ycqvq+LCZdTteUr+zYN9o9jsSzZvC8PPv
ed+85pU2vBi22q8VEdUnHN76U97k5aoXbfPUlam3okQe7motnF7ILwCj8SvIF702vgRO+66ANYEm
SEv1TdY3af9oZI3xpIKd4uOdXjKcea7B5D7IQeX8lYHzoC3sEKVlkbVbRR3iTWmg3wf3ZXjWO/ek
8Nz9bDnoYOoD4JwwxHUSSia6dEPffC5HKHS5nTj3A8pix14DBzCC1P5cknzTXbv4hPJ+svNtP9zW
jdm8zSUjOQCXXjRwx6w7VJ0QjyIsX1ryrlufXMCumoVfG1fTnmbE0Sau7PCA6S8kSMSslph9iS+D
8kcplPEbgFLufvDFHwLXDnd6Eeo7p/bU+8ZH2xvhsekb+CEEtJSvle8k4G5qcfVtbKvrzsZyFqhD
ltfR0Z0VpOXBGyf1BPYn3YwztOIjdjtzEJl2Gr5Qtx5zHhhovMW2bhC0f1yH98bCCBV7tbLIhoM/
2aQWfz+VbXkQhjEcVGgk/z5IbRSVsrPfDwczKrkKAMYAjBBSCSogMz3UurNfheZ9UQ3dNXI/R4aO
rXqSBtnJH70H2We7jXkfFJ26qzIwqT2UgmgZm4Gx7nJLo4Y1t31UZpfcmnNk3xjuGmg8Fs42LVH5
Gwuh7aaKkjRkdpt1sEbFp57Af2Ng2bXXug6B/av9WbYQvG2vheWQYc5isZYxeZj1FPAq0M4YmXAp
GWs88ZpqSnO4jTBfReofyFBMaIl2cLdysBZ4x8z4x1LY91Tvo0uiupjMBM59qpf2fZaazQFP7XAh
m749iAtuiqTwOmf6XGv9YRAgXRQ3nnaNYhgbFh3qGwBE5E+VfT0o92SeuvvBLuODYwp34Xv+H0YR
z0u+2cPafLRK1iYNdbPFgILys4ijZFV7Zc3rJxgBgBK8s2sWLLYNZV1NK+fYBmpNxTbvLt5sV4BE
7PjYtqAER0NJX30f22bbRqjOslAXgOd9X3h1/AUXP3/RpQbGHj2SarFTC8wgIqAZdpc+IReLF1Yb
2fctib/1OAA/hDaubZqyho0B8GBnZUI/dix6937H2+io8z1CtZqdMfXxHfRvbkXWEF+wWuSxyC7g
fpzNTEq/mB6xN1NJj2DINtiOifbKoL3inxDDOORHbSNk2wR2+c1Qx32RzSL8ngljuJ2wOEiDcWF1
mv08Wdjjhm3FptqvYEiLeOXWfvUKAglnCD1HfFi3q9ciWbAX8l9H1cpPSIkkSzkqseF864mD7cg8
CcmXlZNkyKKKujubtVfxm7YqrFBL5cUJXEiRLtmJXHSPpq8s1fEUmOcuKUI8a4bsILBQ+qoX2TdT
NaM3VQO+GEYOvrKaRd01SSaAshZSF6lfnaVdj0C037acstAXal93F2emkUkmrWTcgsXskMPvHpyZ
jitDfeyjzpJ04uA6SfE4wV08YDLdLcoq7nYDmLgN9kjqJW7CEP0K7SxbIGUBpswHlAubbYw+MU9I
34jWpd6LhVKk1gNyLGIxDpb33rXlBRcIx1/wqLVmQVte9S7MYpgjZRZuMj3nSdnrsQI4KsHTVUQ2
xIzGviNNpU8rH8IV68T2dGuWnSc2jYkgk0NZmo8hijZOrKnqQY1rfLaQGV0kwivv5CGdizcV7/xw
C8bZDvUa4yQ71dRAfYQc2bo0MfNIHFAhjeFH50RPN5aC9P0IDoyfcW5co87Vr0HelWcIhqi6/hWq
57MGhUlvGO3jR3yIFWNp1V2x0cLYRycaw87d7XLcEcHujObtUvLCWI62p7rq/9DqCW39Ici/p+e6
d5rvSmy2C8Mpx0enmlz+UqM/sLN1V32Tf2EFYOGiQQm5U7OAShgUO9n86Lg1KV7Fbp3d/RYfjFZd
Rehqr+Swj0Oek8IwsquMGE5aOKth1NqlMNxsPXgHVfjdgzwEDm+tJzp1L5solWso/qLEM9Tdg8K3
8AGZy2zrOw7u8vMsGUNNE/a6FrkHOa5vIL7Ek7e5TZiH5SLINvXkjSs5q6+M7qGq1BcsSfOTDA0O
XrNdHZ3lJLB7OW4jwa6gQnHWehJxo4ZzpV71JGOR5efuKd4UP/U3hqX7B9LK2oM2Ie8qRwx2/YXs
lvpYq061r8y633gNXsFqHu3rvDB1TF6Edy4b+P6ta55QJUHCFS+BlWnMIlVYE66Qga325C2dV4uH
S1jYxksQatGpB4O2LDzLedWDmluhWkXssnPzxfSwP0mdYNnkIOY1zYn3daprJ/Bp4TaKov6SN02x
Rm1UfSBbby2Nuo5eyjLU0JdJ0aW3xncFQ4ivdRfti1jXebY54zb0Jg9eCYc24ObsZqNgd0M23vIQ
1k/GN89MnGUzudOxjDv7OUysdVBMxNFf2WoTuqlmpg9vmSAr3SHr6pGJwIVcpwQyTx9zYGFBMRSX
tpiqey/oP8vphSOsVWoiyy6oXsdhekeyWd+7LlDzthi6s27b2TrAbffJLDUTCmsWfq4t3KPllqfq
92HXW38gcvBsWnH+FuZ5uVRrTTxkw+hv5BV7th63K9rotp6VtMd8arDyp3IYTKD9WvjZDLo7EQs2
UVwxA1XxTaPiNX6dvWd0EThvVqjzefSWftLTwHgMemAYfWK/9TpQFgX1gb2BivSj6ifsIhEomAo1
w9Aru6Ho/Mxoj9w52qVE0YFqbZdj9sVzyhADKs9ZVloldr5Ls+8SxJL6Htdk8jVgqBtjGypYhMve
IWaHFgDJXspevYTUbkMtxNvPPCqucFZoFvtfkmDNw1/7UrZag2lXqp7MsE4uo2JkM1VteJoRZkUu
9lVtjc/s9YuDL6JgLYFlv8bDOS6BaL/GC9YL/ykuxytDUVGRTM2dmkT+JnW1AAt6PXoOOl3ZtjH6
B7YXxc+9UIqDJTC/lL25lijsO0aeSHOv6wrc1IfkbtLmIk5Tf5FwD0PpkkPfI1Pwgf6QMeqdlON/
oD+UwUgOMiYBIrKjNqkL1IBDbR2hYxeHtjtn0ikjK5F4Kx3u7LWwsDwp3hocr1+qWUCfJCAKZ/PQ
5LsZb9ocVKPMFBhja5zlmZjPEPS/DMqUHGToI55nVrPtf8ySHRTE/5zqNeZPs0Qwfaum2tgJTYsu
bRrbqxy6z8osUFmXMXnwoTbsROHiagWJ51JXXcsCF+4fPC9j2U1xx1/4YwruYFu3bJ3jbZy8ludB
mmxm4spPQUX1rJU9gXdozTpUVp2RV7sKodtF4tYBhpvzK8S8gry2vM5t9vwKRtHZq9TTyDvprXtv
TRpMO22ovrn69yKPhi9mkelL3ob0QmnZPAQYhG0EdruXQItNPNJqe62kLjtLrcteLLWDnVOKdjfM
zcyskF6OneogexFz6IAyBf1pVMPsxWzTdzfqrTOc7uzFiNjK86s6NAFfGzXhVetJLd7A8CFvFBjR
OVLc9BHm0EXGTSfPQWhAGp5wVHqz+2I1ulb2gu27cSz68M/pXorEWIiK+lm3kv843QfU8mZN+W06
IuzG0bddsbRTHTSGHnrL2CXbE+sjewGnjT7V7auLqNFzU9XK1U8opKdO9KnVA+dAiqfB06aIPw3s
WjeqXYOW4jNZuIpVb8Xo4TCnV8F5aHBnH9CH3tUjFkmKP3arJijMlym0/igS3CnK5B5qMkvsmYQB
X2MRWfnZ0Y3hJJ12pR/vHOL7jh2H+ZdF749QVeJZ2KeRB4S1avdVUj5EqFOrWzgBzU9NvGPaPVZR
D2Wr5ucgrmAYem660g0DBcT5kKbte4Jcyn7sSowDxyZKLxqK48vIttuNbMpx6tyRjoIiYqVntwtU
Q7Vy9QQUXqePT4NHFiHS61ccCEsq5KO5Ao00JxQQ3EaTO7kbeKi9mE2yiM24eTV0Sz14g6Ms5Szf
F+0yNbGJlr3q64i83yuJlvCUJjipwfFuWL1H6WqsveJQh6q1Iq0ZbLqEJzgaA50Fj5EdmG3cTnOE
umsAuSfwQ2RJOqr/cVCne32WyVmx9nYWTV/xfEejbEn2MXp2mhhkFl6p39MapJ5nfYuAIZA2tqdH
PcOGdhgM/2iY8NmQigjXig3n3qxy/Iom0s1U09FHNL/03IUpDfpIW2KbsB28wt7D3bbOdeiWK3dM
xGslzIt8ISMMdjFcSKzheJAW6gTUIPeiizyz6vKbogQ2hcBf4mXVuBjY4y6ekvrcDQobzk41u1Nn
1f1JnrVZ9OeZ3ZvKUQ2BijPgI/zbUNzR+1tv2826KlZBYjKmbBa3QbpzsbK6lc16PqC7UkSvsrOY
4SJ5uBgTJ3mSxS9bMT6zVMruZBf+AdlK4G+xlZ0sQZLbtcrQVQ7pQDk5iIV/xcTOXGHUBLQphM0u
Y958Rt59raiCcjEuhbd46Yl611G9XcgRHxOSEGkp1x5KUJp/XSRM+a84ISI/88vIuJwVd46xcmPs
yGXHT1fnBY1LGKnFPVuJ9rnOnLtw7ECCzC1HS58VNXTPsmXX+TcvnTU5xrR7tnF0x2uymE7m3CzA
My9Kw+mBTjBTRbRmKXy3O7T11D3HXTAuU3zy9nIuGW+sJSNj2sm5g8oNe+wDY3v7P2gojHgdrgly
rkORa9PqarKRvX3smUAfZ3+9EgvOKrWwUOz64sWzot2kCvvdMhRrlQB+gDwUFE/wB6+3OKocq5j9
/EkdsubBMcRnGZfXCccadU63ma5WBve6aybnfWgNjbttU12CMHbPljAt0hAaGoJNOqzqAVvJ0gn6
KyzM/qrM9PyKx+SkukDOfsRNYQYrCpcmKzRGyA7f1DCryFBgmUN+oSouwq7jJcOs5ChjqRFHC+6Y
5qrcNxHgb41V/Lp0xbiPKWw+9fl031Q9PkENucDRrrsny4aMiEPAqZ9bt1CAmkmF5qxsRfDV8DJP
+qNsjl6Urf0kGDdeDAbRaVtrk0nmjhp47aKYTzGP3xhVF8xLGGLtzO7RwPUWqyYKAOHMOFxtirep
Ox2ywlbeGm6pZsqKnK31DpFRvl0gIt+a1N1hopY/85CojyjEzg67xNEI+jrieqNqj2af5cFqvAZl
qR1DltlHHZ6M05IhF9y0F2Y/VA+Zkrm7YIyG7RAl41Mqhq+k/q2vkcV9BL2ET3lhJBsH5MWBZHp4
RQIXORkrtr462YOlDu2XRmDxa3tWcnY1QAF1DepVsVPjiDZCvfBY93CboykPXtwbxzkxA9x/Dv50
6sqo3pbphvowmo9zf2Nq8dKdt5os75cYEngn8teGs+ptNVyFimKv2rSxzzh4t+x5In4tQVHuOl23
wdfQ4Zs1gNHOHCApcrPeySAVLefWbQYBZBPX6hYDSl2rVkPvRNWt6QHvXHM7G0th4TU2KXfj4Tvm
LhU2DdH04LtsOBFZOcuWnED1UF0N81ZVVYo2ZWHbLsukrq5yiMczbD/lmrXQUQN+MOeDLxDf8LPY
3cum3vnJOVB3MJ6vUO5J61cvJuoL/gLi/IPKf/kt8OMYu6Qwf1ThrqzVFIuBAlWWve1NwZ7dkn9O
3BA/JHIvj4FfKgt++M17VyZ/XlFQA/nrijW6WVt3ytQ1VqFiZ2gxmhZV5b0ixPy9svTqGsAkwO7R
fZHhUVdJr6STu3XmUYWtb00Rak/stidM34XJZ028Qx93NYDlPuBMVb9m6Ur+GyanfrB0trzQ6ey8
gIudDD83cbdUFhShrGU6Thgt9UZ1ihQIp5txPu1mKyB5qLXSxjuEMQUCKM1CBj/G6Cj3bs0iVZdh
RtpROgNrYtxlDYWqiN/kwgSj+TzaiaAONMED9nN/3VeN89JY8zco/4SxmHv2+/CPWwvQ5q5mtbcK
jDb/NJZpw63Vy/a+p4Qrx/O6jVKCuxYuTl1px5PK67stX9n8NUP0pJ0TtwYUmFVcxNh/IkR7b/p2
vMDabPrcgiTlCZYm9yKOE8qnPmzFH1KN8kwKLt5UGW89bLRZ5Xqbj3Fd1KfL0Er1ZYY3X99m/XWc
D0npkEf3i+9tigaIbMm47oewSMuRtSj6y7dhblKVl8J8laM+ws3IAscUebr76CgLEliRDYBRXk2+
Xq12GnhXPYs/F72/Nrg1nJN6wOeqHcOHDCzPUligUMcKAEMf5OW7pjUvmF6G3zOdaqhoueu62jZr
tYItoOEfhFNjKqWY3/Ux0F/dcgzI4KTDk+jjYZUVpXHtkIDZiDqq71oBo0T0xkzo7LvVB16+C4Z2
6RQuFD0KZlRY+qC+k901fFCcYfrvNRvEbUk6GCmePMYmLr+fWgsfHQ0YV6YU5N5jgfkbRpN82mFz
aMHjvcLMk8Mj8iz7uKuDZVX3+Y67FLKLdWSsgvmGKw9NExXBrR2bVVYt9Bom+T//8b//7/9+Hf6P
/z2/kkrx8+wfWZte8zBr6n/903L++Y/iFt5/+9c/DVtjtUl92NVVV9imZqj0f/38EAI6/Nc/tf9x
WBn3Ho62XxKN1c2QcX+SB9NBWlEo9d7Pq+FOMXWjX2m5NtxpeXSu3azZf4yVcbUQz3xRyd07Hp+L
WaoQzwb7CU+UZEcBOVnJZquZ4lhhvsNbTi/IBO+ie9FJtvras5+gvYM3uvXqrCyRvLzIjlwMUKvK
HF0zB6Euo0vWbaMXr74TOntnSpqVbKI1mC0rJ41Og1EUr+0KRHX6GusUg5JJS5ZykBp33colFbo3
svA5c7Lz1AzVVTO8Yuf6ebfQ9Bz6uAxmpQNdLfBOskVKtbpWmjKus9qNV06ZVtfc7j7//eci3/ff
PxcHmU/HMTTh2Lb49XMZC9RQSM02XxqUc8DU5ffFWHX3vZI/S1N4PQNTlE2mtZEW81GnvshR7CYS
NtPsCHwt+17MnBl5MDutxdMn/g40r7rnIycexe3hxyhzzpT8CKm+ZaDKq7bLwo+GlwTdismjXCBb
YIMho4QvQZO0D9nkQOZljK949TkyDbIi179/Myz7376ktuYI4eqOJjRHV+cv8U9fUgHocerYKn6Z
qrrZaEabbgzWhnvSmMlz1OcXx4jUz5mTUmBpzZB8dhBdAjdRFrKjcIxntHW9R+jG0aFL3XEdDyU2
e1XziPkolpVTEjx0TZTsb81gLh3I+oFKQnbbKhHGM0HSwsH80SNrDCN67nGPVdlHxUGeCUW37z7m
ylkfF/1pMPPl68oRH3FvAM6KdCDfd6AcxyIb/aMN0zy/tQMdG0vera3steYhH+MQyAtuM1w546M7
idLMWmI67/+Xu4gQ823i16+rq9uabgp73jw7uvXrJ1SrWo2eOeTuTgnLTZ+qLu5B6P84LoRK0gzs
S7FGO0de1Z2KxoWk3+XNq12L8KgnXXYfmlF2ryW4fya9a+xl7HboYH74QYEh6TxOxhC3TclddO1W
NtvRyu77QjgkUZNmM8oX97yCom5edmsoIR4yGNCUY0PPmsVQKegy6zGnJYh6UqROvYxtrTi5SQEP
5qfTBsHhXTR5V0+tQbtHGe94n5g7fpvWaRrKeDv0enjJo0SsgY329xG/iBVGjPGT35GiYpfuvShF
D8VsmJS3JAi+KCrgc0U4J/Smpye4WA+VoTW7CWAUac42vgpynVd5BlfmGxdAmfFHKG8QOYya9MVw
p8G5TShKH2ZmCi70Y37TQSv0SMOFCr/GfBZ8m6y8jD+TVoGYbCOy5KulvTTMHp9fYUL7nc9ie0Kq
XZ7WU+jegrIJ0Nw4NH+YMbVffwlWO57TgcnabQIgzPLgxzvDGZU9xc0YBWul1peaE2ABAIn+hAS+
d0qUpjuSb4YAT0vGLb9iDf3TKaDmNWrs0+FjTO6yaFvJtiWsL5Hh11svb/ahWgTPgdoWK5Pc+ymf
DOfsUh9e6nOyu01nQ8nEfOURk2+oHhp7DLmpj3ot9crKGm8wfYnMHzwfiz4HKucM5B87lzxrDdxI
dgK+jS59Bd/f9KZiaVTpuBjVCPurebDeuJRZs/AdjHdzmtxePYOW/POQZRjQsNe1t+xTJ7Gou1Q9
RxqwPGTbN3KcpX1Xxya42E3s3I0Z1uyDZwXvbg/rIx5NthtdbV7tAR03N9fD96rLIR55TgI+xlAe
KTOdjc7znsnJdAs3OlAjGs+KV6n+usM7krImMDK3LC66Am8ASVqss9OpPMpYBpYTrUutuJCpeO4L
tCMqdqD+mi0eiR2wnbsRkWJ/XZgs2pQMXIScJ6fIMzeIINIk/DUf15ocBOETfizrJEh4YyOwZWtj
8oKVzXJ5rTWCJzeq8WdYDvnR9CrrUtvCuowRaLq/f3IY+u/3JV0Xqma4mqobGgxu49f70lB5aeP3
tvl58Ly1PvsoaPOBzFvLtp8zE3E7D2zaX8HSGYJVRXn8p5gc3YIOO8a5YqA2Ms+WbXkWDMjKq1NK
8WnSkRZs2g3Z74QtpBWfq4Dbnjx0QxbhlyHPkVVQVYR4GCXbfuXCKvK7o5wj47chQIie0bPyUdSp
NXWRmxl8Nh2j679/n+Ry4pf7t27ZuuuYluNqwnDkMvGnJ6xZRrgbK1bxWTGibGmTFdrmZYG3KECm
t85EwQ5du5fccdoj+WT0C+a4E6GUqBbmdEkmxbv6pvGtL6wRn1r2Lywn6oMpBvVTVBYLGQ88PdyR
DS02sqllWISC4Hgia6efjGCobpcttYIFeaOm58kM0k0itB7jhSTcCMd3uPfG9qceeaN4BsX+Fk/9
pVG0+bs/xs66xxhon6C7+ClU8xvAOEKr9BbHzbz9lJBPlkDf38ZnxCVg2A2VCB2HY1g5+eNcl1wV
WWhsZFMZm/wCK3UXk+8qEF4WMLyDLt9HbV48YpBNhaWpv4+joq3//tNy/m09xLPWphBm8nmZgjLG
r9/qqqx1hypm8LkLWpygtfzTZNXefZSW9rnPq37RmG3/NrQB+AHftWArO9ozGjkbLLH7N7Mbkq3T
inBrGmmzrgOQLjr4kqM2Hxwqa0fZlGcyFpiCWo1tHyIRZ1fWO0i6qPxsSryQr4gFYhc7cHPpS7U4
edrYnwrMMp6b0bwEVTRdECXKn11hfqfe0dzJVjAnKZsiqI+ymbZhv6xcu99X88zSZ6vmT7q9lb0h
uPG1nlb1xndFeghmyBkYyPbUzXwia9aOb5dN3dcnUHtALWVE9n2MKnuBjLjDbiGrUZpqo/4bN31r
ru+lwqI+Rm7zgedYsYujmmRKopLCiFWG6nE3D60bf2d7kDNrd7TvbKTcpoVp5PZdXhnnKjfHfTl3
yF4Z1xrL/i8fvPxgf/6ZCnKUpqbaumqwWdN+Xwj3SFF3vevr76Pwq1VuFSBqTaW/HWK+8KiRuC95
FVkbthTRnVU61n06IbxrI7AoW9TBk4vZGcBB2QLPplLdOveMcJHV4GrGHikzeUArKjs7Nvd+vzEU
FqN4jjuoTpFqGc4dS+L933+p/+1WLUxd5eusqzBhdV3XfltCxoZZOroWae+25n2qITXfNdxlfjoM
Pep88B01FnKTvUgRl74DNdKvjMxzr2Uq8k3M9h4jJTRIzSz3DqUTWgcVCM2uS6bpzuuGalNgzXyF
ftYven1sjkWokYs3inoH6BqUUDKtHS/19gb4vYM8K9QIgu8cy36c/afej9jHOApr8X95pP3bj1+Y
riUczXB0050377890ljATezZx+o9StPvWXYhPe/dDVFkncMZyyPxOaZI4xWKR+bqIybP4tYRJw2D
rduEEo2ahTyNphlErJfjRl5ADpYdKNnM2Q/vOFK0Hv+EencoDJTBGKC14vR3N/i3PFWHepZqGpN1
Tw4U3AGEUQGgB26YqC+21DGZY3bYane3IaC+bk19HuKjubJAa3ZEBrbOrlWdPgnHNA7SbAgn4uzq
q2azMxHRhYBFUx7k2DyNb2NT8P7OwiyDducrw6aPRA3d12m1RTuUdyDlnfdATbCndwDjkSGx2cSa
r0bju+9WbzdLmAuoi2i9c60SxFjF3IHYEOngPMguIGv8SzF5iG7OHdnIGq/xRszAzSC/awd1Tg/R
EU3FJwNA5N//TGz5O/jlHmCxpnEBttq2AwhR/z0zgGRloqFl+24NIMfLOiT5hbvAOlJ6+6U0vH5l
1rW1C+am0oPhVvUmu5O9PLpx7yUrPBam+ZSxxJTh0QI7xcPtC2qg9kurgf9wckNdyk5XYMPi8VPh
MPc6+X3Q90+4E5VnszTtO9MPxbJFWfkLMHcYVfr4OtUFqD9cU/ZZ6BdPlVJ9kgM6JasXVjs298g9
xsfAn5J14g3K5yZcyAG5yNxV4Qbj0SsyF594j0f/fGn89J7YB1hPrGL03aAruJFJ4qWTWqT9/J7P
F5mjrapF9f04H6D//BmrMqO6lwekUn6OycEfc5Woq2/jPmIiQimJNcUv1/r9+qUNKojtpKB6/mjb
6jmAE/KW6NgLxeWQ7fNasV/7CN342n7rGjh0SadWqDV51ptdYgcOZZEFfAeuBIMRRM6IQ6+EmlBn
1rXLBjSvE6ihrlvuu4LCH0IhCT8T3ccuGrp/BH2uGvsjC48+eHHz5tERYF9EXr+4EATuJqNxHoGz
6eveRdwtxI34cfSrDps7fI8ipCuWLFxAmA/tRY4dJhy8kkrxYK0y1tcohlX5lCxk7+2QN0vDjab7
hI3jyRw0fSt+CKVIvZPf5E8+RFYw0p62WDFfP0Jywm/zf2v+drkWRt+qNIW1kHOlzMrH9VIsxw5q
gaVRbjfrrs/1q1loDQUOXlafz4Y5JnvVwhW3s78fl6MZvnFVamzejHG3JNxdnvq596y3lnHrIDet
nVyJkJe9zjxanhWDDziFcTE1okmHBDGxFgNFrUb38pB7DWIGXpguZzTNLdaYxrS3sxkuPI9r54Pa
tPBbYnH5mBrZrXIWU7vso1GsUTd6Nhx3vLfVqV5qfVdvZVMehkxrF33npPuuKaZ7GdNS4MEKpCfZ
kvFidPe5U4x3H6HWjNDPb6NrppvN1cy+exql4jrB0YhU6/iKrdd36o3+1VU042HQgnMz2sOrWVo6
aBrUm3BI+XlUH3OngVp5HtMCXD6MwWU06mm5TPyzh7TZg6sqw2PtR2QbKBlu/W4aHkU56qeZf+i4
XVaSn8QDCpwLSEHGdrniQEbh4aTFj4JnBLr84z3b5eJRHdJ2bWm9WMvm6MbhfTaWS9m6jRhLbWn4
QtnCWCbF6JNLQNjLrja6Z+jHUHSs/vpsh02kvTMNq6/3skMekh7Y58Y19VnLqq8WcrTsaWz1LkiK
8kFzEc8uG7O/i21HO3stgCRApOWXBAGyFFnHT3maZtsMPcWdqebFM9Zf93LAeyh8+xDYtRKiRgev
w22Mu8FxBnJP43CBApueIQMsbiM0VjJHJTZOHyPkML/IcFGzGpDJhuqwWK4csggB1uSDOczvWVId
NR8R+SClmVgNS56s19eoNZQoa5LQsQcv/aIjoFPG1vANoyKAxVhqPnSTjzxO2lg7L1JH7r2OfRuS
8JtzLfurRVFZsiuuWZaOe57HKYoVn1qYXpj0DQgA1vmfB3dufsSK1OBjnImWGxBu7iKglvuKVd9S
KgeklY3ungoQMypz+xKoPJalYsA0Jg92WopT0fMuT0WP4jOqje+TM1OWNGU4pyopPQMzEWGwSQX5
vSwarXyHNwT6KHBzuDRt+wY110qy8n0C5L/16qnYymYiDsXgAQ8bxnI3jUa9kZORhFzm8Nw+9YqC
vJMXj2sZD+pw10Sa+VxMandIesNcyctolX1WE9KFXtYjHdCiO5mYlgFb0BveDGyMF6UtDYqm8R4j
93cZ13yw2+C7pbHB8BoPx2AeLhpF3bkY9q3lqEI1L0ZtUfIFAX2nW4WCYmc/vI1mgwRAuYjxW1v2
sWM+W2prL4amnl4bv/7/nJ1Xb9zYloX/ykW/8w5zAObOAytnZVl+ISxbOsw5//r5SLlbbblhD6bR
KDBWlVVV5Dl7r/WtiLSnYPhihALfeql+08J0S5tEIMKUXjO8kSEFnUvBjN13aXOvuywpXyKRXEt9
q12PIkhxTBv9VYpsfoFhwltHkTqxfaXG2w5qnTHW6/1q5YWxW8JPvDiGlHqupuAQLPmTrqNUQMkP
n1RfdphhFaV08jpFOvUWHLBILQ7zpvft85LceR3/KAacH3boviatRl5sU/YmCV1jdLHjAGyPLnn3
Q6rFKJod6crJcnHNDMd2NSwcdGLZZoouPRuqf02L8hjKWnfQekW/yLUwLuSFRBOWbTVvmh8ShDbE
tPTNnlYkFeyGIYMjK/59FyG4RfoSoSJpgntIHdYlaguuV+w0vai/FdpLVgTBfS6r5dIeEjKPnL4+
9dNDrobgHdJyK3tpfZJti4dpad45H1boWr4wMPGt5m0fjivinthL8w7TjnIsVXk8dE5SEKBThXdj
TxtcIL54CcjNqHXvpTX8wPVAT9FvFeNKoBh7OwkDX7EOY8U1kEofLBVwrIIjrQVYqbVbSa+v3lah
yuvHoYIO41orHb/dfZ0SYFDm/ExCIynvC4yCK4LB/I0tzOI+1cBZclW3SIthVS10gkTtDOjltBpY
lrX1YUkv5lW7aYs9A8zwbRWionPAl4j+aDo4GU35pObiW6zeedEof0EK/jVEovnUV4XnitKw7uJS
rZaZbfrXuP+yddj18qmXip4i/yDv44EPKTZzECvk+SxMWW2ucNhGW5n/dqYy1GdMecZSlIPCJLv9
pih+98pPQyrj+DVkZOdGRCM8FMHgr8ocifCrnarJMjJjfgFyaDrHrlC3xCzyA8h18yEtUm2fe8Nw
Na0Vdc5fSvjpPSrg2JUUbQRiKif3ltCRRAup3M97HSWFuQjXHkk8e9W276DcOeN6XqVrHG46Cnqr
cUiTe3hUups0UnR0ssq/qKryysWwfQz8JNvm+GxWJmDKR5E5CmW/XIbKwl6n9Y+qX2c3dcoVxBCA
babNVqGXB9zM8wW1fazh3a7yvpI3816+LFDu4zJGn8VTdt2yRKb0oIPRu1id/rfXxRSYrOZztKZf
q8QzmnJb3ZA4liFNLojsiszgLEAtLu0yqR7BpT/iTOL7GXYLOt7Osz16CLWmkwy8J5veN4gKn07y
bZRaGrHGj6Mfv51k2t3CLnP7WXQJgAorrG7E9EqJ6v/9lRDBVY9pKR5NSUgvSdH+7ZVw9W5HyXS5
lhqoRKdm/Nyinx/KpF7/ZpI31TqyuVn/1pWnjabqsknhDAHSz3WeJvVyX5LxU1ihrwH+bKKDWqbq
Q6KGT6MIqwvgP/XB1yIUrFV51xcMfbrBW84H4cUm1hip9dspfj3sQx1V0bw6CSY3UOg0Pjiewu6l
bgmbRNvOzwgiEpVFHtGkm/YOQXiJiKC5UpiV76n+BOcs89KtH5OzwGgN8IcxBkfhxJnrh0wps6DH
XZr0JGPF5t18hOgfYb61t/N+n9gRXrs+z2uBwq0oGeR4Pzj+g105JsAUjdm4bG68UpMmIaF9xFuK
PWharaQ03EZRGKI3YtWJix68pmNt51W9NnGG5rV68O3hlgvxg2qb6Y0VtelNxJQDJSadjDbnt7AQ
IT/eIE0O814UI83p15+gon3sPEydUMeRDWo1Ji4h40M5K7S4mhSV3THD64cNBcJRo3s7cmH0EuBY
NWHa4akxZP1glilfKv6tGO08Gs3mYFx56bMq2+FNXmbRTUGI9c6OjJo2Yoix3IElKgMm3lRyIK2G
LG8/yS035ibR6ouobGgr+biLJbX9NLbduB0NZJw+cLhPhQZ5Y6QEdjZ1EnLQh7+djj2k3tkVP51u
era8wSHr2GZx6ogneRiQZ8+nV/mY7XO66ARwcVgxySlSPSmPCerTR/v7azpOFR1sJ9UX81HCAOin
cHU8zM8BE4mm5rCU7LBf9FQCr1QIc1c54QuCy9v5fZNjoInReqBt87b5wSOKZ61D1307FZyzctQL
81EmRPcoyFfcZloC721aet/2T0u/Ps4Kne/P5/y19OFZosAxNkin6bXK11UreZvQD4IFE7RxmqWN
10rix2ujabPl+zahNOOybRRtNZ8272h1tVjoidVu3rdZhg0wbVCLtdGN39CBg8esFINfnpB3hkYZ
azQ6SNVVYN/Af88WZuo3T2pr3KEf8xHhSCs2YGCS7eKsFW31+dff758a/prGHIG2mokLnbLtvP9v
DaPUZJITqLX/BKgmiPamta209A6DV/1i2s3GGCrlsyxsY+GrlnYpYOrvSn80N5j9s2MG/d7NEA66
KKz4kk8PElj/pRmhBJ1X1ao+//otax+7JprlGJZGcdPUbN3WjQ+FM1ORReDTlfo8Dv0ydMYKiQgP
epyT+WxZ9ZZpcuR2svd9m9xbRHyTZ+eqid4+WWl1wNqH3FzBYkUbAfNUknRPAr2+mxiJfOpght1K
Q3IxE7l7yks+IJVImW3iL7FN5yJVT0NdUtrsdfK1s5ibvOnYCrGJ7JmX5of5QJQKHblVQfYbqYby
41+BAZOhGBYOblDuDty4j+VD7Eup5ZRO+o25ivqYDUzCAM5ZrUQXr7YkN4hQOmE8WeVeiB6vNfJX
YFvWxm+MFLhaROZKFO0jbs1N0A5IjWzlN29Rsz9cO/lsbMuE82xaOo1bWqE/9rcw+iMWSaeEBJNr
uhEX2ZEWkpiyxlm0podEFdnRy7HFU2Pffdg+r85HvB87b4uNDJxsrBNHOD3Jh+PeV9/PzRy8RRiv
QrC1enejwV8/+IbzhLeBMk2lD2RIWMJY23rF3ukQzKqLHnP/1bwJQVm/42I/gs9l5/wknUzSVGUH
+hZiXn8j50UH7+PKCDOeUmr5+YiyASwznTA/ieQVvovCQxzmJ8EEN5wj0u3mnUbVRCsv7/S5l3OI
KWMyKkZpEU0P81Jd6ZkLCbpZfdiRJuDk3flAk1/zQlVg3ZZNbkH8i8aFrwXtnRWbw5k/yE2TtADI
poeif8LUFd2+7Tep3jKOr47zPnQ2aprWxywmlscsanCzwleIldDkY6wU35fmbfNDNO39cPC8bd5b
1bq1MwQAnW4U+UF2GuojQ3xtKHlO6f7Ph3nnaMPkX2f6kB/m9ffdcgh1mb5GTx/ZIRJYGqW1Ng0O
lOlBRmITKk1ytqehAkqf6DTW6aV7Gymg41+TJ9sgpZj2ToFDUEJTmp0IP+YnaYtEvjaa9bxvPipI
xnIHGHZgLDUNN/7pVZV22AWe/v1Vw6SXF3ZvoCpJxhHILxmSMVTApwpREsa53LngLbUv82qnDtKT
2tFo0GBEHNteTS9JWn8hAlk7A77Xz/OS6elMUgnyMItcZyY7ohOad4SUIki6qIrVvPr+MJ9Rgp59
3yTTH3EbJYLkUnfSCa0SvDg1tde+bEqnedv7g28KfyHyIN5T4I4OYMYIKZyW5odK8obMnRdpp8Vr
8K2XsPHjYyhSIF12nq5sPoZlGeblKoEEAvgCZDV1uB5vXvMqigzER9emt1VNab0bVHn1tlo1zbVD
spGq6V62MNKS6lCRt0TmcbDvdM05Dccj9an4JGgzQmY1bNerde2x71Vz1RjVuJlXM/ILXX0cokvh
V+KhZFClOLH+GI9Di6f6h7PM9irBx8OIuA4pXajVM7/m/YD+8NEzs3KTdczQsszPgW4GN/MBwOgG
1/I986oPnPZg5BmU497JnxGsTk9g55K9TNF2HWAfqVfNoI/uvAM12zXFnPq+9UQOAAfmbZQisA9s
dT8fYBRgsyXqQq1N5Gu+iBJPb+86h3m1B0aOyX25nnxCX/olbEd0YBEeO0b12tYLVP1Br1CPTbtD
O0JwbjKlSrrSXNm+0e8n/TPWNOh4ki8dihmK18vL1ILvNXtHRB7t/CpPsA479aHPxHdPidq332h5
5NfEtA3nsijooKESfar0caUEtXQBCTHcDA6lrxyZ6zZK1f5GBQR53ejHed+8pVSsHAGVby7mVcor
17qum3tiH/1dFWjaOpKV7NOQVuv5b2H2Tbvw67E6J3FBl3EwjLc/L6zoZZpm6ZOi8aMmOEje9X5f
3BpkUs1npkoEpS03sE1UaKkkXTgrpx/8z9hJ3j4I1YMD2NlgRDXiRC5yXKQLs4TdILVQOVMd/GpV
YOXDf1s4bwvDvEDY0dvCX7sG+f9zzM8vwfOkVVNOI5f3l5CEavzmtqz+fFcmPEuTGTfolmY6H+/K
hiFqJzGb/l7XR/sSxc2FhJHiSWmI8GzByGzm1RSyiFmq1PRKmpeLrqFKOnRLLxNSG/HnsfJFCrMP
H6MUotr/c0nSLYeB0BBu5qW3vYX5m+4pJJUfZ9bT4I/OqWmR4YvKSfs4LWN6UxU5Mu87vexggwIG
lktN2Vo6vNB56X2b8w/b5uOc7EKwqTtICY0zsDbxLqB+vm/HguJo7Hj7Vs13QzqG2kbpPWs9NNx5
3tYJ0FmDXAbb0sdPbVPHS60qrX3hwDw1qtvQkmIGjma6C/wg4fLMaji03wiIVK5wW2n4EoNv81EU
KZKVZhO2Nq+W3p2F6uYxR/m5biu7NM9xnxbg8IL8UW0Yf1R+TUTltBrk2VJoXnknklG/5vfHsHTS
EA0W4VCZQyioz2TUjrx44wObunQ0oo+W16/ntSFqnMu8VDa2DAiNyL/IgpDtzhslM3kC8uXt3g+e
z6eQtpanU9+Onc+NG+7G88a2Jxg9EBpGXk3xNiKQC8YqXf5IldpCrJDH+/lfEjrODc1Vnfpy0N63
dUoRmn+RSaTCAtt7DxQstYynPAm++OGYfA3G8EkvM52ZSe/xBbURqZJfeTcdEHCfuA+Mgktd56Dq
m4ZLb4vzGEodIj5ZZWiqha7xJt4HVqXS5N7ifSgFRJVYCAx8m7HRk7UdjMWOKYN9Ryf7WtMC7Utu
eBFQR6GdNc3Pz6KouAlNOxp/POf8sO4dORU7KyjbddFxwanCr/N+uuP+aoxTaa/X8hQf4XUrjRnK
OY4ZV3SKk39RnfARI1oLeVA19vSapeW8nb/6IiTB+NOEe910jVVtrNyRPvnwdeYDYiKuVmqnlXsQ
8OFdGlBDmp5QFnq5sIfRPmFw1i5V3tI1mnY0Hj1pYFvStepV3mFMkmJpJoZzFXaYcECnPlRlVkFY
y8W9wfQlF8rw2FpWfhxKHcTTkA6POFGCdR1oKaYB9gY57FeJdKrzvLfElmXp6SMgqP5ckuzArImj
omAcN4OQ4DU1wfhYh020kEnoOcwnWY5YNdDl7qSqk66slLDb+YWx5uwsx2+X80nkQsbL2rPNHdS1
6lSG4GPGYUR7Uk0TuyDU7t9XibL6vlrkXnmg+vX31XlvUFIVmc+tpwCooBBUnRPao46ONsHwvX0g
WuP7Ire+dorQLry9gtNcWv20bz5D8oyVFpkyspVdlHqe8anoqxKqCEw8tLR0FSJ6SK1q7uJsoud5
uUz0lRUe8sEzbqPRvnnbHjsmhUHEznbde9eMpl/m7RVDkkVSwSzAVxVfJXVeu/6khpEGEmUS39Yv
5lh0Z6S8RFaEkH/bBu0P/OCVldbW/m2RSB1rP6979Is2JIOC8eEmC69HP6UDpM2qIE3obVtRmKdA
HqX93/Q/0zahXA+o7j0uFgxfEeK1YfBcduLGCr3gpe2KDWHKme/myXNChnno5s2Fybvhu1kUAt0Q
40s1eBeztLtnAoK+jWWmPKmj3gMug8HXU5l3AdlDAvYsC+phzAwCj53DfUj2QH62NnW4aXE+aF6q
tJo4K9tOFvM2qcTV40o+z5HMz0GTI9iAGH2dd7+fZ3eko/n+mK1aL+ldBxI7dthIrCSz0M/McWUM
t4qyS52wOSEjg2Rn+NWt5DNWtsey/QzM7uIJBJWutBRp274ZsILJdzWbr2ajlRCJcvBHxEmTRase
SM8wtSRz27K30MjxQD0SJ0tOrJ4jQgYi+G1Vnv4KyFu7F371SZki5OYHigPtVSOSExn20mHeNB9q
+nArPVCsy/djLZ9wRMXwt3FYGktVHcRFTeqRgC1zIDwv1k91KLcr1cnSO6K7VOzBmnjWelQ6FWNo
t43yZQR56GvWRxMkUNHvnQA+4/xMpVC+P1M2ZchqpqRuTKk0TlTfMiPwT/a0EjMMPSXdGMOe64pg
XVnSFN3AHivWQ6ySRIguEGtS2AnrLQvJsZ+WQqVIjiIv621GSOLbkv/Xtg97M1F1KxnaAAIGee9Q
vsUgNC36pizvJYOHeXV+MDQ7NVdvBwFfNFSyQDjUjkxlkSl5cNVCB41tLX5ElaTubb2plqqJGxuk
B/Ayn+oAjrrkyo41omKnHSDb8mXnNPa+EL7zUMbNIjb1nhgXXBxp1w7reRVp2o6wO+OO+KGQjjYe
tRhAOLWZkD81o+8sqLzP5MoHiySbGGqSVq7TOEiPkIORW0MG3hSjaK8VZxwWvo/BXo7pj2hTEUxM
5bC6C/SdnZaP75vmJbvo9GUwBS7KZBIpUWIfCU23mfRj7QOGZyzUaXXeNj+MOSMXF1skKZY2/ECg
RtclNbqFQssO1m8O7WFeH6f1vhIIreZ17uJ/roukfNTlFCxZKn+SkTgnpZy+MkGEK5oazJfQQviR
bt4gZzbXvp0HB9NKxKmxp56YVJf3TZYC6AA+/NI8x3GUvaYqMteyVO17icse2oa4PomuVPeZlUSb
uGiKG2adUEiSIn5uyQSdz1La/CIGrlZoC70Fl9bNr4uTqvGjg4q6nO5Yqkzl2jEMTebr9GPNizKq
39py7n01sonQMGrikFCOxKbzqlaiek6icfXJaCBxh2TAL6LgNKik9ykVzmfJUIJLo/Y7wppIJSw8
jRFZdg7Csto1zlKz8mCT5Jl/46c3cVRfMk3oe1kytD3VAjJnsjxeBG2DSEfHN8KsSV9m8gCYrI9l
Lh08HSZfMKTr5lHRJX1ZDyDmqNvVGxwyVLy1EtdP7ZO8oezNSR9kyRi8YF5/UhX4X6n2KXxB3Ktd
jdk9eXkOYiQgyyotWMKt7PQoK56yScrmXnJGspQEPVZwAMaWhm+ywPspHazwlqIH4HG1qy7GQFiY
1+KYCgBdHyTZQhUAxNVNiZJdJ4hnl51HhJbtxwvPULI1bjx53Xmxth6Nr42upruWUsvKooS/MGCt
rinS9wurzBl7G83OG4N4i10YOc+ItCkyMheKMJ5TYt6kgLdcZbShIgPMdFK4vRyMtx1c61AiYHLw
uefjQAZ7okbWCqmVtEIbmK8HzVbdyO9QF0R1sZRhxhFOAe5G6tQvUQZVsDXTYpUKL3UlqUiWiVDz
mxDBIqoH9QRnWz3V2NUiJWgIjfAXQHj6PZpo50DIImz2Cq8bbU3/NsLXuYh7lZIj0XPoJItyBypw
CbITvUFY70ZQ+/AkctfsqRiEY/M1kQvtiMLnWfjaxvIZM5lFFqau1w7FnoK9qEVyTDT9oQ9NbS9q
2VpGBoRhRi1iESpOTbylWdEGumNWlxzhDSTHgov04MOlbTCNlKGX3/p6fmcYdbI3Arrpnn6gwn6B
3GV+4tq7823y54lGt/30lGlm+FhK8Uaxuo7craBaZHRMr3X0fm2pu7FvIdDIfTLqCPnDzBu6bdvW
p8bcjyg1VhNwdE3u8KmJ7fHkZ2hoJIvGPS67Y+4RhCtjrltbvW7s8yJ8yBKvO3kDRdkIrIetlN6W
4vi1zXzU5ZJs7yCrwq1W+1slLJvz/KBawB37IiUl0C/RhRWydtCGCjWfZh1zGsaXDrHMcjB9EgYs
knLRAy86b3Rr+SQK23jASeravn8oqGLvpUTqd4PTPiVY3E+62iPf1vgYNTS4C1Uj+5gZPfpLJJ7L
toTh4I22uukZyS4T1VoEkvZV7oqVGqjcXoa+P8lpclVjr7ykDRJgfPwQPAatXkZpQ1Z74q8oWDib
WFjZEs7z0uzFF1PV2t9d1n5sZHNVs3Sm2siVFZUyv6V/cKooshqXSZGHLz3JUCC9yRzs5Oy6iJWM
zNqh26oWKSo5RZZFzsRsHSuVq3UorWaMcD5C5QgHoOJavNYUs1rTcGFOENTJdSanzkoefXU9They
NOqChWPG2kpPDDKAMv+xHuTf/HOUH0sgc/ME4bViIL/HFPKTzZVCoZNFOAC/JQDN9jAXzQOKnSU5
8iGhTDE8LMJaPDfFF+xSC/VIPo+JNFdtHJqGvfj1PcNRfqhlzO+GXHYQuY6j0Gz+6N3vEfmrLb/W
bw5DfLgnTUmAd/bS2v5kWhrq5ag7kWuGkFrs3n7VpOhrU9f9semccZfp9qaQLSYE1OS2DLz6vSf5
CM7qwForfgFXfoQm2bT+JzRg8rka/XNUWQrijjY4JY0abxqSOIzVXFsgqvJRygLPVfPwLmiKW24R
zkrkXUKiWWxsSll7DGKCHkMdaptuRlDjpup92DgNfy4gRE1hyitFtLskqdSFb8jtYhBKSVaXhY1o
Wi1NM15VnXUQWL/IfUjcpCcNElDnq1MH/sYI6ic1HUEr5tlNZuvOXhXKvgukW9hg4UPET8JVbOc5
yYAFakMjH9Dl6NtUcHXOpDjcGJ5aHmh6lZOuuWlejUG/8GPDBVfGq6GDH1t6UXNU5bpGU+sQ2iDn
h7po6lOcEMdsiqxZwCuO3Ei2A4owyhXhCRLNkYCk0moYX3/9+Ss/DRn4JtIfM2ji6apl2R+GDBmk
VKswRPotteT+qi2dnHgtT+8WNE1uK19lzpFTslanb2deZP61QVvv1+9B/ek7OPV+0ajwRdRoqX7s
AyuSVfXYfsdvShZ/JdWtPqLeiKHLJQKVKqSYuTmtRuUJoceG6Y3Y+YPSr6gXI3/uMnsdGOozwQTN
qScsFzTMIB1imALhkMrLrmvV49gRC/rrt618qAPOFyZiBnTHVhVnajR+kGcoEXM1dE3Wt6DkyydH
xhen6dQlwYNAQjxR7FLLRCIz1g+Gv6IyvgOern3O7H7HfRFTLzmE3OHz7iy1uUtp09lX1hC7oU02
AWEGC4XPjHGmrdwFhSKvBj/bwoeSl3UlDooNe8IjwtCskiX5KeauF2O1pCxpbzqbQlpXx3BWEvJC
CWeaMN/xoyf16drqoDH79KoPBfLRVeF5kFhE0B4tc6BZQhsZyzKRpE0WVm4RDs+pTuPQxxG5iKSh
WQ2it9aZYftM8rJ2WYVtgRtycNai0dZ+ZpTXWlcnMAZia9WT27X2dD3kdu8wFDRER+lsrPG7acWy
1EW98HJGhU74BWOgXxXPkq4bJ67sxlKSiO9VbIJDC+z8rhUGA4Um7w6rnLPr9OC1YVCFa2kemPbD
DgRvvs2rGjUxJY0Nt2OFSMVdADT4q6wR6wsgRCtbcrWy2t+ZUyNLZy5L+mVAwqSv76pO9KsOhBm3
ACO9daCyb522eTFAKSaMGFRlq2CIu8orhoEXBEhMnmR0s3tvODpqHm39olPcodWDkVJEujCKeDEQ
fX6lWRKxsgUsy052/NSlLSBdB+mnVEfAQBKFkhzI22TglSpL0b0CG09uq0w3t3pbjYua+q5sKFcA
7qeYI9yE2VhXv7kNfDAEvX2VdfAYFrVtB+zeB0NYI3sOv0vL+2aWgc9QpU3dyJKcdYQCaa3IQUNH
t23Ppmm0Z10o5HuG4pDFIADQAax7vb1tp8BBnIt3CR/Kr39pP18gGAE4hkM3XzFV6yfAjKZ24xj1
XfTSBc0F2bByqzjI3UsUxguP6/ZyaMr4qoaGhk6iXSjqgCNNsZVFbaBGkDRSvatKyT73doOCNrI0
RJBhe2t1d05mPw9iyO8EDfXfiUWcj/dWxiqaSptD02xH55f343TMVIIqqYgseJEE4JsRpGKXWfd1
HHLjAl+6Nnu1d33Jy3Z4dui9IIu9hTZ8ZcXOPlVMYzfPVFpZO0lVj14v3akdaVlZw2RCIZ/CFagr
rbqrTpqS70KqchvFFhOwBGMNxDRnX3aj7GpetSEa6OuAUuxJi2yEK3V5ChOv3FB4je6StqQmxdWn
bvrHX39yHxRs8/fK1pkZ2bKhonV1PuhlxqSBnNBH4YudqNXKiUzB/cTD9l3Z11qQRwezV8wVXqmX
QSIoqun30lAZh6QvV7iXABB3/knr5fJoJH4O31r5ZBFcf6XZ0o7Ewlaq9QfMvqRBYtZYol4M3KKK
2wUVC9gnoSjOY+p9buSGi5rHjAWf672Hr+dQNrDIf/1v5fvz0+eN/odbqGrzJTUV88OPqOwSo7JF
mr7EhiEvUdJ2Z9zADkHbrbB2AYOeSxJES0Qo6ckZxa1e+69eMaqLSFaNdaw74jQ/ZA51U8g9wB4M
lJXYrcKmia65VHm73K6eiGDujxK1VLtOVoFUnglU7gFVUHvE3XjWeW9XOsChgO/W1tEFmfaxpF/1
9NLOUfoUWDsiNWLSLMlxgGqQOppr5DZ2V1m7L8xm5dEA1yJdORBKjpa/bmVIu6SENYhSUuzxucW9
hKLS1hOhv2gIDXErkU6dBeYv442RpO6gmxKhJgmoFAw6F7AP6bGeqEcicQoi7AGCI1ThjRmN9CAN
cbGk/n9Bv5id1f6ursdgy3xOUAQ3MXUnaU7KcBsvEIKri1G7Z4CCxLPqXhqzOThFSZYPV2tg4C4d
u+gSM6hzRwStq5DEEzeZOPymURJVXKRnRpDOwTaz4ECHKHPrSDe2iu/1+8EeXvugUSnpp8remxJd
PTV98ZsC1AVFQpfQgP6Yk9LhFeRS1rD9ei6Fa4NhChY5qgkycJ+pzqgbU3mrbS2X6JlD35ZAxcL4
wdRLMi2nBF7VpqCFIAdvjHKo/KE66e0r3e/6EjN6cMGI7GC9dRvdK6MHhP57r6QAmw3PdiyJI5Oe
Yt0LqN4l0jo3HGBHUHiWD8b0gEPaJaE1Pwovf4ZR9FLiA98qmXEG7Kzf6E3Tby1oqh1c2osaIKns
jeRr2pQn3YRKX9viqiNn6wpY6qJSkhuSI7JXS3AvNM8Uzq3HVBlNd6Cuf0hl9dwbino7KP5msPPo
qmPGA/NsqLdcliged35HhJCPkxa93tYMqKuDJ+VmnCfOKuRWfkDxPpxEQx1otJ3qSpB/9pvxpfXT
GNcyFUMzmD9ajoLe8MN1uCWZkm+d3ryYxMcsIn9g2JPgy7KdhmsoQ4aLbRd8Iau1SpZ77oYC4Imp
iKVPMOPGDMavSR8YmzgCOB8agMc/U1KwXDBZzi4Kp/IP43juf0cSIjGDgMLjEidOeDPcyEw70l88
01U1bNKiG+ylIgbw/Uk3HOXqcxSnWw3R5w2IgIwAwbQ5wSAx1mGmvM7UHFwjG7JLtJ3R02ABXxY9
JVUbL7GOcRdpfDR2vFaXBMYaT4y6wTyAN1QE2aEDqhVNeZ9pVTa3Tagqi7G9S2grwV3rw5WcglDy
x/Slt5HxmH1bb4RHtyaavsJeGZzbsB1OgWlc1WNevikB/usHalw1U+S+ZmDFUFrVH1b/5y5L+P+/
p3P+OubHM/7nFHyl3Ze91r88avOSnb8kL9XHg354Zl79+7tbfqm//LCySuugHq6bl3K4eamauP6T
fjcd+X/d+a+X+VnuhvzlP398+ZYE6TKo6jL4Wv/xfdeky0f9JnMT/IuvN73C993TP+E/f5wCQn74
P8+Dfzjv5UtV/+cPybb/rcjAaNAlcqexHJOhB7TAaZej/NtkkKzxJfnjX2lW1v5//tCMf+Mu0SzL
5MYzlVKsP/5VEVo67ZL/rViQGyDf60gz0AT/8ec//jv67+1T+2cUoKoq04/p3XZg6JSeKSXwzhBJ
UE74qJANrAAebF5FO2Kqgq3T1Z8b3Tw7CdBnPQWhDp5tCXdr3JCvZm+xVu5EP0QLowY/WjJBdHW6
jq41XKGLgqfvjBfHq7OdKeVfiKNHdq80L32Cc4P+XbaPEvqlHaPmFtv3sRryS2yFmMaY3q+hQjP4
QREvyK+zymYFtJJA1k/yAORBVfHu95W9lEsr3kArjt1aey3VeFwzpzvoXRIfDPpbaP7lvPqcFKJz
+6ZAiBE22hLyg998pdBJaIat35ppT2mBQvJSEz7F8zFeIwEetwk/qb7hR+jIJV1HO6BIomTOJYza
fjFKaUp9caKQefE5miBbPTpM8hlx2gZ9kEOUkwd6veKrVCqAtJJa484I/oYO/pM/xdc7BAKeLU8E
y5ox+hJn5XAE992tyraV3SRIdjoF14ALQK6uylCSVpgmNdexhLyN+qpZloHFmysqPG+av7Vhh7nB
QDODMO3T4DDNMKL2NFRxuc2ifJN4AcBOogNtk2G1GkbRrS0/9+BqWj9tX1C6LcbKe+qIc1nAEO4X
kuI1myEscFl3S9xpI1a/yiJqzJ4MTeoDcTz6UlWGOwU63eZ/2Tuv7ba1LIt+EWogh1ckRgXLsizr
BUNOBzmng6/vCbqq7bpV3TX6vR8uL5NIGgRP2Hutubyh54Wazu8UBsgmmYGtWPPFXZb1cXP4Qlsj
lQdWk81p62RgbUp59bTOB29LUJpLZ59+57tBxOXt2RCx7q1m8y5r9kSH5uImZndWUMfBd10fac1Y
gatCX1ySjMA1Dy4eyfPeUULpYjPUHyhFEjxtaGcaj+nFcYWIlzH7NqdWDr+ICzXFj3+7GCBK/3Hz
9ujtebdH/93N2wMJxMHDapnX2y2FzRWFtBUPI8s9Fib//B631yP/mEduV7fK9OJO2E+3P75d3D6G
uZcP/G36jE+jOv/+FLdn3F7T4qxGudgZ4e/7fj/v99ve7rvdNAuDHoxKINTtL34/cLspcsHUdbv6
x+f79Uxle7EoM/hCwP3444l/XL098fY2IB8IdwYDTlWyCVK3Ua+3C7JX8LRu7hjYBAdeF4HoH/cX
QkVZjGfLI0IDaM9zXZHNNBd/XCjSLK6OXnKfgr9BlCbI//2+dTE1DNkHp1u+3P7mdu/kbtKnxbKx
ITHP1jJ87kF8RJ2+g3JIch6IFb+mSneXrQ0JMh6nkqZWyjVB1YqknWtGWrlYRdXeH5mpL6WznlHh
bqeenVzE8thnLVX5qna0ac5dPWLtr4z1XANMf6X/IlglhExQny2Haf/2uD7q9hEG+DVxFHmpFfZ+
qq2LeEatfSVQ2rzero0larlByicPhNtg8AUrnFibnlvYDJQ5SFSO4e/7nHSKsJf2gPt4huyTb72X
umT8GcdsWexLC+XxQlhE6Wtp0cTmftxx3xtNmLduf8VQhhQhTnLSmtvB2oKN1Krr7Vm3C8p3eGr2
P6KBlqOhLV6RBTYMnuX7knTVwaioKieerM+bMx11KKaXQec/qXZs4Tt/1MReOaq/FQl2JqPLoTWp
WntXOcVL3Y72oe+WKh7QT/vkAOmROqkL6vhmpYzlrFeZp+7Bo5VU1XK9NvvFmusDWU9A0qz9GToL
3HkzLjC2qvNipffpY7aYdqiQt+Src2Od1qyhzFinV6qIKQLp3DgP9HRVFrxRaSihOxidj7/Zi+YM
5aS9hx8bEFVg2183dGKLCUV7sPp4ISvhqkhtu6oQya9DXhWnjX4NMUF/v39bROerppvHt6fl+5l/
u/a1M4F0us1VlqdFcdM4Q8DM4eArqL0F523R6g9koc6ndqxItoIeoGX0xOe5L6+JxycRm5IfccrU
1vhxZv9RMG5c5bppJ1lRjGtGG/Shh5WvblF5G4qwDq1hvdxOLAxyFClSwhJ7MtzuOrOp7rZhHnws
C318u2kqwxCT/coOByjl3eixFVtYlqLHGsgdg3mV5eJDKarHnmUXe1Q3CRu4uT5pbXQH0OSdpgIV
DykQno8kR3twrOrQGKgeMqUuj2B9H3Q71Y566dbn1coB5aToAc6rhM5h7ndCvsfQSb5WvC2tGnWj
Iaih7s9ZhrE53679uvP37dsfsg8heOP2+F+efrup8/XEnjE93N7a0Wm1EcBsB3/5gz9e+tfVuio/
DYmexs3vT3J7v9vbI3jj4/VL0gbCzjpaE//9If54fl+DQNIFoGehakSOKN1ADOB+4Sr8aH/fLPT8
X+67PTrNZspeAHKge9AVTQ/6RCURQDj3xtRF7LgpGCQ5Pzj7a1eLryPl6lAFI2FvzhsRO/PdlMOc
LuasPOTbq2Wq0cpxPZWrzQ+IgM2AhaAerrl5wEk3H2lqOGG72vwFwgLKMmW0blkbD2UpT7hOPite
fwIR5GckiZqbRkeBwM/ActonWtZkC8inUVvwaC4z/2bETAoem6kwaRETitzigMJVX/mKsJfIRsYU
mC7JHaNGdHpVWmRRJeOxBG/iECJHhLiXDwuLNLfDwZiFqjnb4TDy8o1N3pfTtZEl9Fcyo5tQSQmh
r5yo6jFfOXrnAdcYnqFLoZ37nKIG9ZmXR8D4hgwXsyMNeHPv86YHSZDC56+Ut6qFmjlllhcQt3zs
iOQIB0uroH9uINrnDLAc/HaVgdBXVTIrIF3PfO0nBaKqX88DhBQuA8/ZssBqklMxsl1W2X1HSbee
0gxWqk5fMNQ7gtMMQUQbdqVTas3SN1V1jbRuoNSydSWSATTCnbd2bEyWz6XGCiwprTXAD/tB4Xvo
syE/Jg46y6oQcJus3apGCEGoLOU7AdwnYKGHCZmXXxjfMzQkcaV+tPGL0vRu76RiqAe9Gl5tMSQh
No85yki1LKTnnZOy6k9tX5R7LIKH/6h4RlaDN3PL23jc7DexzeKSquD3Fk5P1mL2o7Sm6kr84lv9
4kylHW5lewBNPQSVOr0OQA1Cb3W+Lo7aR/qKZoGt1qG10Yx4w+a7S72E+qKwqFjFwVGLbhdMvOlq
noYeVIXlsXUwdiXTTX5LzQgH/kwlKihzywzc8fO2JVR2vKOD1p4ECSOgxm2fPFK9OWLGXY+60Vcv
GuK0u5HTccy8vZPksWkoSUVoBCYUqz2bjdp/Ilg69agBjZRJzF4j0JO2IEEEy1K/N3WShYPaUKvG
TyCr8erl9lVtp/SuVsuD13MEDXulsIVO1cvmcDb6XVgxn2geE92qGW/rJuUH2wAFTwLSHfrJUHXt
5Eipo/EtSra+26oPvTJ/rKazMxPKR2INy+fNIuYz8fim0C6jCvvkpQpYGWhiSI9gaSRGecgQRSJ1
J/GAxCrc15US4iMkVkWs12JxDB/cAEVX/u8R4ayLT8QfvJhkNYVqIo4zDdkjDa9jOtnZ2WkUXDPO
nZA1MUHqudfHMgIr+eBIPqM1H4casDvOSjOuRD4dJ2M5akU0GQmr7NJ0Q0M9gvqQL541frKN7H21
lZIk9UKEFaqCQzndd4Zp+8rIsGJlBSsQd8/1sUtSxKTlRMSufFoH4yUvhjGc25LWcQ9dGWuaTRWT
sAn6wDop67WBe7hiDzgIYV7y4sHWChtwTeoGmVpvQVsrAQ2Nhs1Rzs9SvCZTqZ4ozr8uXdMBFsZ5
njmI1tb2i4vHy6L4HY14S+gij/rRXj3lfU37Mq6z0U+2nPQyqqFYQmDfWF2VRRW+rCpP1dgSxYuF
Pj/SU2wwOnb9AN+EGU8SS7WRKwdyEbJYVdM2zFyhR3VCfgBLnFIsgW2V5aGmGO4342CfMzsNGiEo
0KoSMWOr4O0Ns4Rhv1BmTDqYhEaUsQnm0EszzVFbOpyPiu0Gs6RWbWsO2hThPqLooF9IR3993yvZ
vq243tFiDCHNLmMh5aUseVnK13oLdKL3Tq76U8eLfcycqidaW4B+LkikqKf8QZvHkk04h1YHLzeU
exg0dIodhJ5biwio/38X1jUfv7pGU/rmahchAvI3dqyr75CVFtQbY5WbNtq+tEvgR3i4hYiBpGE3
3/VOHoBWG0LFtHnVgTYJzi+8VvZ8Gj36HkuxPKWb86Wee3TTpuvisGXEG2bRnMcuf9VqSMJlUhLv
O5820RFUDCQjQqOLfLdC9uW5RmT1rhPPivldgHLckuTjwEH3xWMFDfqSSLFneJg/U0oYvj5mE7U8
8FmpfWakIgbX+2IQxtkD7b4nW+pNV/r8LLWIDXLK0Nx96aHp+OY4/mwzseeHWcyA+JrDdN+Opvpy
h64XhVSZPfdU9yMWD4/GjB4rU6tvicYMSCaDr/U1kguryo9LPQfwdSMntz4IMpkNLHdmiRRGzlMI
nQNCnuxr5NsUszX0GJwFLNCrBxUHOPAgclmfxDLdkSWDJwndsoB4Ml7qkuFENb8gHnpZLL4GW8t9
b83CvIRFts32obaX+YCzsWXn2Vk0YWpsaWGL4krgvcs1DUoQ+Yt0OO03s5rGoJk9lLXAbrz0m54T
GTSZhJMSVklGCW4onFNZODdBV+zmH/txGOZgUqAF9TlQKFNqbYzZvzEit7M/knHwARB7ylROsZkg
yO9lLY5LVpqHcbW+2Rv6MVOhATUfp0F4T2tnodpnN2SvpOx02rG15lekZ0vkysdFF6z8K/FeY+0K
lGI37pIcELLFaUhL0Vsz5rDPvtT7Ktza7MfSmV9sUGo+g8ga5G1SRBsR25wpF8yrBRQynS9RoZXs
ErfLxFiH9rxr0a3mfaxoAzQ22VpNnn5xMuvdqJG/gCtozjpO+LSmaCM+tdX2HT9EERXEQ8YTAa6b
3WpHWnrHRN8emobvNRVaINg2BLiI3sa6KvzKlfkRUsOYrk8ZShxN1N/sesMZeXA7zBWtQg5w/TZ2
ShFao8KYODeYOPr72c2zEyy/LawKEwSXKbf7mXLwrnd7o5R8qtXiSS71m2K1+TFDTihnYm8Ia4He
K8QnN69kcFty6YVb+WbPBA2dOfFRzkIlsrwuRpd/djpxMDU3rhfrzvBmFdkshjrPwrxi20gCRBZ7
RcL4ofYBgqks6oftc0NYlT/bbIGQFgTliKWVro0/lBZx3U5xzHA+BOZCskfXe4TXEecZDn3y6JXr
g1x+WjTtsYwqdbDQ9oldzFZRVaWfp0mYodmbH+tJfZFI8Q4uIVFjTi2+bIyLMM7IbZfTW0E4sO/Z
PYe5Ny3WoOAYl/qyIqKl49W9eg6TKhl+P5Sx+YF7jvUXGBu/JX83SIcmj9IdMAuGsfHM5UFWlDoU
LyGp1GT3CXXmZLonuGfu0RUFywgXxxUL3vHaf8jJlQyzLNfC0m22xwl/7ojqw3c6V4aAM+xL16af
jobavLV2BBPTOClL/pjRqyeqyaPb1O9bdsc6QMDcYT4l/s5hTFhfJ+jnTIE12CAlaA6GqqcLPZk/
9UolmQqZPQMbvH2G4jnwcnW4sq5rCu3rLumdkrWIWqenX4EI1y/ZlMYIatftbkJfAYLZPe8tnwQC
Ns6zdXcQfS4Sj9W1XuGp2QbW02SQlfDXSAM/N1u/RnW1ZOgnjTtVEZ9qNP2+BXDN770S+DvqacWS
H8cZGJq90iqyvP4LxXD7ZMP9G2OAht9oSCKo1LfsNBr6yyK7S79JL9R6ww0s9aHUyIGTWs2sS+8w
n5gUFXE3ivZ+HmYZOAqhQybtqshouyvc2OOUJzjfNzQ0K8FYSyOJcSpoE83dI1nxT6pnVqGb60xX
6/isCjpH9Xw2h20KhnWLKl3j6OuKFTjepIb0P9m8rC7HhMYwpdLPpHrCs1/2r4IdTmLZ985AJXBp
850BAVC3xOQirEdK7xerGu/oVQJAkxNuhgz3UAK5z9Rje3Q/yxVY7wqxs/WWp6I1XzpjYsVLLHhI
iMBTieUMIY+0ohLr7JL46Vu5IJfIAFGHRd4dGttLKG0c5Lo8ZXniHlslBRfWOZdtyu3Qb80qPw/u
QRZ6rBpDfZocfUFTyT7G7q1Tp835/TTRYR3WNdpHC0iN7OYMHMJkAK1pjBLr1RNdHiQL6tHWoHtY
qyv1zMJgKS3cyFP0762tOBc2Qeh4KP6DFyUozCJBsz31cKcDJ925hLQOqoR8E2F5LzO16892Orbn
1QATMzH9UFr/bpQfp66QlOSFexjd4inT2yySveNGFZND2IofVTst105Mi19PwZS3a6g6lRW5O0gm
6cnIXLS65lusq5g8ziOxuewGc2xqaKvpuB5d6uQRux5cxayJzcq0/M72xmham2MyUFywGTqSbi6C
OdVnli4PwjHvSPaaY85k65Ssy7Oez489coggkQoobYw/Duzp0FYBmBXDqREVa1dETcBPlrw6bqm8
YGrC42YmFVMr0rbSdnDqmOQ/D73GDlq3WOZTIhUu2Bu2lSdQwj8TdS6PWe2EjOSEjdcTICqH5Ya5
eecOLiEOEsbgmbkw8gBKBB3hiRRkxud8GPTzQD6BX9FBvCAWOe16oMBUFfaFu4uG1ncn82fNNmqm
8PFpdTIRiZnEEnwF1OLIFYFXhL3XrVE2M71PznkGSxs7mWQRTBfSLzmhNKM9AoXrfOFZMnIyE8bb
gp+/h00bSCsJZg+pBD48ou2gDrua9cNRyX4h8utLlh/dsfCY7Mw8hjLyNpYN4wcMTER6mw8D7l0K
DAou0Srj4izHqZf3OFUowgyocWSTM2OVIOI2h62NQXt7W47zaj/3CeJsbXJK3OWqHlsM/fDSvghw
Apekdl9E0k8c45pqDQk1gTGxeVZr/VxMbXcQQ/qBQMUT6zeaR6oK8qx7MyhZawPmnK7zsfQ0d1um
SL6iV0Kq2c32yteeIoWmrsaVtLkuYkfitILwu855QgVLdltqncd6bSkDErhWFOYPtCQvchiR+6cr
iYWKntFtXt6xKVcgFvKXrbsX+Sju+rRuHrOyAN3H2jyq+xfghcR5bBRycAnHsNhiq1SZP8C7+kWV
u2G3qclhXqpnZLpTtI4sS3W1/jwY1IA3Eta2YgNsDx0KjkJN06iFq5HyjVHjzpnnHw3Qn9aoUoNY
1xQMs/3B7PKfxYootpqBOi9O5Ni0PDQosiG/ypwN1xwZ70OyVgelQ0RiEzMWbobdB6bMnkt2Zick
mU/Tpp8hgR+gF9z16o7C0WtAsCp71eyFolEV05x8oSra+KY5Po37j5R6JFr6Ugnq0jwvo8gQuPjF
123u91MNfL2GbdZvjMSLs7IEpamAYgJOSwT3EaHXnm7tyBhsahV5tFQPqrMABjdfFltYnKEDu7J0
+7ktxhCN5JUmnasG3TesAgcjXT66MxxqsX63tmk9pFI59273mqxiimqwwHBSvB3P6/2sJmeN2856
24yS1E2JhWIocTbTZXngtBgjDKum7xoIbrIK/9+wz46uVB5VGrO+Bwl2ENfebZ+NGQNDBgPXn1rQ
A0PxQVXN56VcOb2wxlCzd6DiFTQhzXpHpUc4btgDb181s9GitesvaY+8ZLPYKooesWKi1lFp2jkG
lQn1A+l2C7lZLacIv2sPd/MiUqrH5WtvGG2UthqeH80cfE2nakuNRQm62vOOFcooX62Ss3Dkyegd
ltZqmAvzu6U4z5jWHqCOWXg01/canoevSRd1AtzYfBzuKE+GQMHLo1J9nIeveZcSUWsYb9VYo7Sl
94qzBWG2OsBaXL+zxsw/OjbdRmuaL6DakaL3VAGhNYfVEhELFxWWxaYNkjxVRyTCYzkPe1f0xzZv
vmOb1r2OFt/ohoHKS/2oezSeU1ORYdovfDRG7BbH2r1nNNoRNWJ6KFXjeyGmOtb68vtY0AJPuykJ
HcumyTgB3DZZXvoOg6e/KuBGSga0UBkV6pICcuPWVHGxa0ds2Z+anvUhCPlD64oDPyBfy5fp7JVZ
dlLI+gT+kx2LMuPU6OQnOQ7EHOpaGcvePY1Zl5/NOQ+9yqQH1bgd8CU+MQg5Cyubll1N5Q7tLl2V
vnow8+EqyYXwIeE2B4fS8dmYqb4MxucmWaxorS36D3Z/n7F8tUra4xOerVEhJzfTHHBprEjqsYCf
kjNnLn0fTcs4hUOlxF1O8grGg/HQaN7jWKpf7F2Hr6UEpOMeuRr2pxIWMg7EfXuUu6tfq1PI+HSo
1PqdndXdpp70TSG/r/PuV5xzlAWVt7GlFjZTKUB2hN7GKIc7xcZHtHp5F0nLnuMmVSGN1vczlCrZ
ZlhKTzr4Av5NHqQq0EizZ37LbFgxafPRKB+XSaoUyRXWs4kYI6wmhMfXJgEllqwDhSqDojy5xnEZ
dk22NpQsAquQIhB1c/XRpVp6qBWyYmEUsKgvjbvMtJ8dhzxQd5wOpBn0YTtvsJsJOj9OoNW99Qoj
hQx65JwhPPEPtStJWSml367OfMrK9U53uzpsTUqPVtYEqoq+TZlZoq9ZZGT1h63Q3+lN6b5z0onE
iqseRBP4EarQC1ywTP3ap554Ymz+CTCGIopHoz/P9TlGhFZEvXbKXKd8zCpoagTZF6Oor6RHnTHL
VSeCgPsjbp5HOv8DXRyMD3lOhqyK3zqWwEhPc1fwWwS+oa7z57TjoG1jwQEuJuLBxtWmkp6+sBIx
Qp2TWlfVIO1KkmgHSqpSeUucISbQfn51pH1Q1Hl5zAazDEx7VGKpNjJYZ3g0Se9MByKZt/Oi4FCj
PTCRWDdR/hzWd4czgYbEcVTTmfODeHR0jSKw9atloMUWsvk07X2iUenq8zRk9dmqFhqPv2/frvX7
w7/vu/0JOlq3AJ7P39xu36795TkZXWzw65nKT4FXqDG1bLgu8zJW4Cf+8TK/3vXfviSOgNpX5aCH
v550ex9mQ5rQv9/81186eX0ZmyVnlbawp0yS41y4ggXv/k/8/fl+vU49alfVUz3Uifu/+PZw308X
9kzZ4a+vfLv964m3f8ngWu/pkszR7aVTSk+8wn+/y++3uh242820qtPAqRNJVBuH7PcRRbpeHzKD
EGhAGcSAU2zwqFUSevVW6r0SpqrdhIhreop3MykMpcLOZWbGXJH/o6hh0tU1LaxmNsWsmT/c24at
hu6qeydQPAdbNRHNj1TC5DZ9AuWIXFUPTU18Y8uPLLMh14ApdolyWzLMV6W/eLTv9dFXEjwbqyR8
3q7rT97UHaWBngWKYDl/nctaRWBSjYE1FfequrdMpFOAa3FwZoorAWCXucu/7S2MXir7WqG9a43t
vRiwCk+ddV108+ChJfF3oaAVK7Vyb9yI6BuqQCNHED4Q2hhQoPAhyj6q4GaD3EEhYFgAIHdIhru1
DpkKLAC9BxKYqLnOUFVIG+lyhN1divTXMMcgsw8AcHKEpendmm1zAO6ORnelX7BhEHbJ4W1ocRmt
EwmS0qkYDvCU9d4XhP6GDietb5TriYntqLTugUKa5qe2fDeo5clFeUWnowRCXwlRRRVMzZZwVrUM
rKxHXYjdPU2N2BrkF2Q57BxI+HAHgcArj811SKJs6WmZm+1LVdrfm8VYw7mT3xeEwWwQTQZuo5nR
WzIHahNi5nl7TYX+3JQsb1tGsnCeWwTTnyeVKiiJEr6tRfgUsqAnTP24FFOCOzb3fLengZ5jR0V3
tFvSWl6vuCRJpoW9pDJgGvUe2spoOpdsNyaAZKdxgSeyKdNrt+iw/MziGXfvkfyyPKDZ82UrgdjX
lUM7qv8qQzGVXyWTWqQg8YjHmnjrzF6uTq+HmWl97ChxdisuYN2hK19t9T3DGNwnxAvWqCg4wcFO
2J13hv77oR0Six4ZtId1sF8WowlWUABBrZRdPMqYR2kzef2Gb7R5GDfvZdjas1WM78hQH+ETNKEJ
qJMwAzuyABGi5XGc+KZ5sltn+A+ydn2X6P+zoM/WsYdBuzRYKv2LXzFN4BMS752dpKTpUs2Kd3YI
7Q4yrSS3C3VHBgnJajsjUqpapz+TJrErqApXU6OhxD8NvX6gh6IFkxATRmPF+2CuACxTp3ooOBEa
Z/jIUCD+wwf/i7VtVyLau+dAp7VqGTZ1f/5hf+BFN9g8tqRGe6IRXJwU20KuQTnPXx06Z1M+UhrM
XXr6JcE1KHDP0vCa//QZ/s3Bo/5hgzdBCumyyvvnz5CBebHXtMpOiDXkQ1vqp0LL0xMrPy3AGK4c
m3Jx44TdgdKxZJjUs/1AQFH75Q8J6d91mn9GNBtoP//6JSIVNXGh6KoLVuMvEuiikdLsC0ecoA5J
IAe9eZqwLBLOm4fLkL8SvtBAE7WfMZB0d26hrceMYsvckniZDModWIjuyoLe7/ewJoFghvmqZEaH
Xh6ZgmEaRah2R8L4JcEQ7Y6YUloFE2br0A/vFXrSdZk0UZNp77Y7z8e16Q6F1zjX20W2XyPu5PV/
/2f/m3MX5zCpjY6jueq/JiCjKnfTcU4FVnF9pwC0TUR+scQj6sQtxI10N3PPHWlLct6OFsgtnAP0
98uNZft6xewwH+GwmkcNAMopMSHbz6A14Lgl86HEOHyc9OXjlDRGfPvk/y+P/g/yaIAPu275f5ZH
PxNH9mMYfvz4Uxz997/6hzgaBbTlOKqj42i2yFD5Qxyt/s3ACuAA1NYclHy7hecfGmn7b7a7Y4hN
nTWDqu0/1X9opM2/0eqz2dOTbumitzL/TxppFNd/+TW6pAowIGEeZbHiIeP751HBkSir0sWqTymu
/mBb+/aM5qY9L6Yxnkb1hQVEf24MvVWDTYWsgnixDIb9ztsjtwulkjP7VW35+52rkg5/PHx74HZf
PVF/XKcy8eET+xbgtvOtBaoKQsB+3f511TX6k16yU6vtxD6W8GXrRavOjlaxtt2v3S6mDMO3P025
jBmyHnIKEdSzBnb4t6tL0nhbdLva7Y3Wwswr0N1Gi2zFUvrY7rLpnC7KqcNtEuirKCLT3dvgFP66
ig2ORRbXSMIEG5QVnMcZx1U5+1tCORGCC0UKu75kG7LfauhkmHnM+wjb4yIV79oKy02u7adeM8iv
LJxvyoNhqvBW7PSeYGwAUqsSE/yXHFMyWINq2jNX2vJhVOfHxUyLqCSgLpCollnp9WE29ezPhRGk
4Lmjic6ZqovsaJnQzvYC4Dg6MSq8JFTr9LUF4CBXwbqHgZBAqe3OEWV2UYzpw1oi6DZHGkaHtdu2
WF8+FemMusZq/WlZTdQ+bQzs7TOyyedhGbeI8BA/y0o9qGjGB1pVQbrKimBwWDqbSgsq2PvoEqkV
55vOolBzX+tN99uW9omV5NjhVO8qZ+JhtcpVjgje8wjPARiQydPipUesotD6Iigqb9Ttk5I+LWP+
BdZfVENJ8/ewnC5RtbAwZg1+ybSEjsfyNN06f3EVWK7OcqVR+rFyNPjDWe/rbvZQJJMZExGp+CJD
rquV4IoguPtIMe/MoV2Ppqn9ZB1s0+TXKTqX7aNR9N0HvThbc+9EkmjnQNo4oVWH3hzsUDZwuhnW
mkaCvLI9seXr43SoUa+5CtoV7yJGijNrn1X+ZBBek7UioOKixXg/mW8S++uyv4otKbmvr3XSjUdC
RVjvutsb2ogs1mgX3H4o28ehbKpQ6usjTLjazywagilam8BMzW9itKU/G6QElQ6nTZK3ZNLV+kFW
/WGYEmxpun3WoCL1FTVkRV3InKLMtHYJcqfOxYENI7/CCr2mLDps7HtHAX7DHe3+rM4ZVeXltGHn
Adq4XjOyv8Lkg6cXJwuPd81kCR3U+qhn89eSyMxQbs2HcVRr2M6UAyad34+mxm0PdSQ1Nta9IBCS
llo0deDAyYanul8meld0mdei9xXLCnNl4Ic4HmubLL2cpVm0Iqog+FK7KKJ4RtdT4yvULup27Ezz
e6ZPXYDRwkIGRwwNZQIUoGpKcxANGtqNr5wdSLynJYvUzIbYIpqU7FtJLJNHJVp6u6SE7mX/OqM9
v5jlQcG0ibOBvkBRmxcN7S7LowWdyqT5DTYnlyJpUO/ud52AnEERh2zzjiXkDwRiPbu+Eu172X5o
6NW1Ur4OBNL4vWnokdw/WFcTcA1ZAnpFKoZTZT5Xmv1WOEkba7ACUHJ11Zs90ImrWb/4XjK7vhEv
d4bh/JgsKO64CBECUfwPIcagBCqGz0hxqqNjoNQTCwCWbUKVWauXxGMBNFQZFPo7jMt8PfRrqH6g
wqoPiDsxrZJlEILGyFF7UWF0Fu17J0+i6l+pE1qB1hr5kQHkUJr8NKBpoZep2fDxJg1dJsIXlEPq
2Ii3VRxlhNYba48xRTW/lxZjqkARkK2P65yN97I0ZTD3vSAb62OyeuJlcIh5aGW2HjetPvWcY+ok
7XgrJZ1AXel8mWGOmXO6jD25K17hhcusfgO1UPuVKt4FKc30kAOYmDSOalxrtAqT9EmKRDnoKSPn
rIIJtBwcKGUkdpuJmSI+7xJAKqb9Qpue3wFKXjbhuziJKBuSb+g5iAlKee2I2AEBHG1Ld7JH3Q2g
FGR+1i3JharWXLN3thaJP3hxf5grw8tsy/IoiQAO2tMk5+KtBHPaJsxUbl+9WuZPpdqlDgpiu5FS
U9JkImjanySW05JJCBnqQekDMX/GQbQXYPv+UBeY6fIytR8Jig5yYDhDoSSnTWPcnL63ndiOyWa8
ENc2h2uhKT6b3jpECYUeizpdvO+kW1OLBAJLx3nC/8nmNJkCV9OGYLGKmlNYWU41Sc/U2Kv5uuVf
t9bgdYzRuiR5gLrtbZ5pDPU55icNkE43GSgoilQhjL3+unrL+ypjaKMVIpj1oZrbCbGcd85TlJSG
96Du+xlZF+XJ0ZMvfYNSwU0nZplUOyUVTBNLNwMT62xQGhs73FImByRJxwVVL+2WrXr85Yqx2EkS
QB1VaCJRvttTmI792VsvWOeRXa52EvZp/kGuOSXIl76aBXJ1Dl67keS6GPJAdhQAGKur8C17KKHo
vTQdGdtG/1CnkIVhpjx3FXPRBsiBSnlFY5sEiGgpflpirqNqgbAoB8w/OY7t0/B5Nltsp/KunVoG
GikP9gYNT0V60XZTWJoosays/ll7thJ4FmXnOu2AXzOpiEESsro99/YwxggA5ZVwDZ9lAyh5zTCf
hJYRdvpf7J3XcuNK1qWfCB3w5pYgaCBvSu4GoVJVwZtEwj/9/yXrnK6enjMxMfdzgyApiqJImNx7
r/WtjcyUbIOeJG9zlyGbY4kXCCjucdXdW1oYk6yWI8qyO3QxOL0msUUWDOIQ2md+dG33UdOcU+Ao
RnNrHtTyBY8uisu0vioM/dZrnCeOnDcCH9ZYdN1y7MtMYQGn3xsoQHFJDRp55iOQFVrMpYAEReeS
yASUvFkr94Uwd7WY23O9IarEzqTHVmZ+oF+EOOL7N8vYeJHDFGO/lYzeuo49Lws+pqyuo65sTwsZ
38eEzg/nOlsQw1s7z/qEsi9L1nfdnwpCdgOCVDIaxkw2zSiF4N3lxRiPNquvqdQYEQ51/aiXTAtW
0p7TAhN/3jkn4ZMD47XikAQ/khULKSk/dIqRmYXLjNqO9cSJDLvvnPPlgekoubyTc0gFp35Xo/fj
zkEWlq7NNSug690Lv6UOK9hN6SISIHdEoPzQYJhPaq06D7ted6YNnS7n7wIG8643F3RSzSQOCOMf
rSBnAY0evqJHMaG8zD0L/hWr6tJ6dAsn3Wsuitbe7kSsZ0l6bvibUm/0uKapirScI+/oOvNdrss9
Oh7jVKqlrd40zxZ9b+h1+c0c5EvsWeZ0XCRMEzdzDvOS3S1WO8erbfYh8V4izIqKgC7RhUPmidgG
7HvAQoBdfdjOVv60Zi8p5Ni9DjAuvLwdJAPqDJtBmq3BV02J2Bli2Wd0j+KiN8OGGPe4WWGF1UrJ
XwcmHeahe6aU5b9dWUkfxgXFZ1A6Z6BKM+c9e9eqFXvaMWjAmFFGhGL/FI42RCVht2fhNqHwRAGi
zUCYlQRE0OQTk4xcevssQSeyAmCKM8sUcZ182DL5Ru6tPEi7TvccJLRcHrEj9qc5018sE6jWADoy
M5XnooJYtSLELD1b4TPHaMPifRh6981XfEv0kzP6RlsBVdMtbtHER55ff9R5L49QimNacjIG8agN
NbtU2nwIpM2FD/uD80Wmt3D4DY1xbxUHwvq2pAh8RfmcC42RTmdNdMItNNWF+xnk2sb0EoouxBOL
jyFBGA8Px245nIy0etmC0eCN2yGinDfWgdkhMAtEri68vlY/VOb0cyoTsv8asJ3lHK569mtYqitj
bK24058737TO6WCtsa2KCLvVDpkrnbDyuz4c23ViNap7YRPgaWQ3cuwxjRDPIbfuOm/fLOWDJkBH
01qIHB/jk6YHPVJ6ZkIs+iCaNRLvRPBIB9OLO7WZ06/K80GmJltN5FnzQgS6hZ9sM5Bpl+kJhBvm
i5QsFl84EpMVFpmZ/qxXde+sKIKdgz0N3Np+GLACiQ5eQV9v/p55P6F6dndwrT0CIRI/cvFE9HZ1
bEdvutKQKa5ktJxX5i5bBZw3Hz5ZPbyQf8Lw0pVXDgozhn9Iu0uSArM1NmG/78qA4diYkbw9YizI
iRE8SWdE4eWNCCBr8i+1sgVG0eL1cZeo4lz++6DGk/VgChM5ycJQvFB7IQ1CEbt2Wx6XysPdlrbG
wZs+vEKwu3eMAGtd60O6tNfVMnDqcDUUX+RO79J64ej2Czq2Ax9RMpgs+FZmZH2Asnys8yOV1U2e
zDQA72sHZip9c6bNVvrcrql7GIohuxoJBiSBRS35ChiuLna0IPNeUlC0YaaMGxc7kiOuUFgWMRIX
MA/87bGzUcesxTlNqJlbGRDrZ7BeMCz5ezeHbcgUeZRlFLgIQM2PrOxaJNndtdLa4LDGpddvVxUi
PGd2jF3ebT2wxc2Je7iHTJWXftchYSqr6ZzZH3UTyJ3ZIq0TPjqCUYsvGxTkrMASx3qYa1JLMlW7
kqH016bqxpeplWSca85fD4FRIwYtm7rosklcT4ErUiiJaGDUIj3aLOOBC6mMDeZ+MZRBI9IG8elY
GxIE5ZJayPJkx3SGfd2ICX26PcY0zPwKOX57mmlJuLU9HDLy16Cii+kwvOacjOJk0+04F7Xz+1Y5
u2iIARU3XIdgEjmyj9JGVxIvjLDWkqFrR7J8ksKOhrmnrLTFfdAwiNdd4Z024e49gUFlUj/7s7k8
VhU4hlJt6aJAPUWAjIrBLT6C3vEOQHLL2MofTLte+YvJ+mXTdgnX0XfiAtImo3Q3uBVamh4vcN82
8JL9IMx6h6p8iO0eGbZdtm+zgd5nJeUa4WBWhkau/wRTlVjv3UivoIa10OyqPmNn9v0HSjER04JC
yKI2ibpKGhmr3UIMW3zZ6AWNymY0Yf67NaeNlmWsl2zxZaNtD8LS3PPlsvbnYUJ5aHaKGMGpHutq
s43dczPYQVT6o9ivuf0JLT09GIk5X20eOxXcexFtnIpPaY3deivnq8adahIvmkIpLYhvRElzCJrp
nDLeSEwGjcGic3XJyFvLavv+sqk1/bs+kv44eDIk9/KbwFDHhZPBUB/s1rLIr9oe8exkDt2xR2i2
sCg9SqJWPU0A3WTPCxnmNXug5dikC6YbFRS+1Urfl+YRDUUzDhhnmhZWh2fkn/Y06koNLAmQTR6y
pveeuo6lge6HXQZPVTYJuXhBznk1Q57Ra8ckmNCodiOKN3tr0YSDinTLsg0HFVI0ZhZU2DQhk5PC
YDHb9Ko3Pza9JkovGN8bFBQ7BlhtV1ivsivMnW0m+m6xoG+UuuDDSgHs40ULSTlYzo7t/BzG6jlD
kXtyRn09LJZ3zGbKsyRrl8cNYcfWNJ9JXRtfjWhjmgKvq1lbj32FccwpGtzyqZnFM+RxiqfltsvF
Dz3wkU5tlJYtzD56hWQ3zW1wdgbTu5n0AVF1jX639ufgOu++G3NlXXV3C0D/RyoQmvNtPR/6PGCo
xBmxZWICd4rKN+0MNEIpZpE0ZT2xupDh+plpPNXtvheNOJVJ31/PyUKSmV08OvPnigLnw7QX+KSD
GxWL9ewG7qf/WqVGcMtVMd33g2M8Z462gwdhnpeOwWqH+U/1/uVh0wLn6K0yuM4gZO4KORhhj3cu
SGvvOGVLDNzPwNpTrkcPVkPWbGfXKeYjuFafAsTXokoCiNsIL08RoO8Kz15uhJRrZA3utM/8+Tt2
QNi/jXzNgDsyvVAXXOWoHIPU29O1ZB2oLsIXCyWZdPUp1VEpWMiDksCYw0Cd/svJ3UDLMetstYKs
PB5iLbTG96IKRvpabNZ1nOJixiBcmQi3R9WlnVT/dlAbrfX3gXQ4+AJ5sNathPfNDlgZOnGydvqt
VGfufgrmU0rmlNZOTQzpAacrpmWq+vn3Q+al6dqZ7rdhEWrwOHXxZaOrWwQvHtoBBF2urjgiu5d5
u54vP7e40seS8qzaNRlrhVpfOjQTksW1uyVtjGXhr425IFpK2H11Hdfv6GY9SWp0EMD58f8m2Mx/
36oMNA9lY7xcKp2WssarM+O4LEZzIkAE6IXxwxA+4jCQFDUIfTVmDa7MFCRvO9EwDGirJIZJu2Ul
nrNL+fKmpXJZ5QbjiX+Ppsh45IDBkJRknD+0+4U4Kabng7GHTYzCaHF/TutiXK2I8n0fnXyTbLjX
5zGq2scsLeLMmKeYVx93RVI+uxvQ9M2je5ybNSa4xChxmYq7QvC3JoFCnK/rPjXTBCK/CwdjnZMb
9tZuX60tp8gWj06kKVeCv2V3PnohvDf4lsUVjMcWAhIZl30y74NOnWrS+9Hy7ovJxu+Gn62CKHD2
Cu+xTItfNLXKI983+q5Dl2F2rLY8C9du+lYi96VmS6PVV/4Sh55Bz1ew67W1xHrZwAiTxnroCxRU
1s9xRaqsY0LHhJF9UsffITZkxAYwP5PJcABIio8UZIGspsMiuER7ckl2fEulYZ0CTSf7k9i3yHIS
VMHjMseBYXIu91ckSNjtQm8DKO1JpbJFL3ewHGLb/euSCFqE/N73pgywXVXXtVhnRhr8+8H26sxe
XJQQFBbSsAJlJIfUtO8kDn8dgxBNXqQCOoub0uW3R3UO27arcTXKozduT4vB/JzFaxEVOd1raaEU
FlZ3jeya1qZWGHftijYEgYKu+zn0BZq9hs2p3EWXzjgDjUMA+YteKcErPxednu4cCMD+tNGtvv7I
58A5meChcCBW+23Ybg2pXUHZxrswaGQ69U8AMpm/dMab4kuCwD7mzfypU12Tca7Lx3rL31JWRY+y
49+WAscG9jEaztQMeZU+UQgUFnKneqYrnj0xyNeQgXPF2wiUarr6GZTDjceaeCKP7ObCJxQ4Sa4x
H5GB5aLKNr/weGwEb700QeXuqtr7xujnxSFuK8pG2z56Q3Uze7RCAuWZpd18K1I/YbCgIXssjIJ6
zsPPY5inJjFuqoKrGW6AJBz1g98vr0j2vLMGg8X3q4PhYpRgSk3vceqvxYSdYB3nU2ktA818bFej
kWEbLBJcsu6jaTIQyCdMA3o6R5vh3pDfspMS/EVVd31cS4T1dUV6SHIzrtqI66rHjsLURMfnjRTX
bvYrqml3RmMI/2YKMbuHdsqopw6sYG9aP7Vg+GGZ2a2JRhaFZkvQm/meZvcZqdDnFQg3XUMCSlke
7Gic0MByAGI7LvB7OV8btUUCIhoVD6sEIPNN8GHpnFSgEGn9h9Pbv5avhinhrkqbG23VHcIps9em
+KJSBY7uDGU0lOzdCsHpmpRs3f1KVhjR6nStbA0rkeyeJbBczdueBEZQ6iUcd6kNPjX/AMDEkTbj
2t7cN2SQM+0B6zBI4JRFCVEE03Pcle5e79r1gKsPB0GGLSWFObNPaLP0eJpx9e17860timlflNY3
ezC/E3zTRWLWqx2BIS9NTavcGHPIPUYG17BvD8OCzqekm9isxjOiGdGvhzThmOtG+znJgx4T+ARo
vXwu7dHG1LMpUxqLH8Qzh6xYM04UzWdq4MzoHFexybfQYnISGuKRkKbTzKpHDtZ8cNFT7HIuWAgP
wrw7bQ1EWN/THnU9GZ6wpby2a/DelN1C1y0LjgOndJm5t2aS/yJfBDTTjE0Ika8q0ApmRnh064wV
VIHEdyex7HH0s/aQaxZL7D94dkrtPM70jYO1MCKQIiTWwZzdzUaQQgjA11jl2nepSUDMCTRcmR6I
b+8ibzHsCNVDvvMmHM3aFwc7Gl6dr7FBqZjpJsU1/lvPvLMIbCV5eieKb4L6bOf2HdIInWGFTI0X
HLfwiDf/vPkdZBXnjFlVNfBKRDltj5phG45zRcrVeidNP+qrHiyHhSvA7W82qjs+iPJJdNYvsydU
mZEJ+878PnvQJZIsGM+1qG6y5xKN4jhfwaFlAiRcPoaAl5iyTtwkgCulVn2QoMpiJR9eGSI4obDM
u4Lm4LloiddzSNO0t8kPLZsVSDXcLbj8d1zgod/VLVqhqENQip/HBGNSHfo+c8PBayyEviSFC4E2
twq+hqTlk9k6knaKDb4uB5SkR5RofbcLeqxnHeWAQwx1yXVCurR6G66XOwdi9k4u1KDrKKmBdPID
XX8/NxgIKMvZC3GAVN4H3c0v0Tb9wUZTtsxnD6brc956jIMqjxqCRWJqfeXrcFWurdIACyRg9dnV
mRFBsIr8H97RaGo9rBoPA0yhWka4l2vssZmOzcssPpmwYUIYCEyke+/sba14Igvb3Tle+TiBtdrp
CwO7hkN6PwB9jKoOLHPZlOPelcuz7bVxXffFwRfLsl8yJpAZYUk10DeOroyTqucjh153+eCHG3Oj
OO29A7GXmGlW1pU6y3Wx1MD4jDdROeyaJokVYjJucgacc9V82l+FU1m3Zje9ayMOyx7b2dkhz2Gb
IUcjSXB3WSPbyFl8dzf68hfnGBTEMEjxmk1XQ8p0YeGccTQmOq/ZNkZ+HXxvaVF5yklXzD3dHv+W
Wa57MFTrsJ3sFiDIoOAgicKJ/Nl4ahmMi+1/e+zPU7RNsUgox1KE/ABKcgVZaS6Uk8tNcJooCugi
iJARTheuF9YJV7Y2thSp5T+e3ytASg0ppbv8+uU5/3Hz98upl29VM8FV8BVDvYRvjXeGArP8ecbl
d//c/f0m/vy9/3jpy5P+PP3338NjpEdECHGqViCZyy/OSuuaXhAyF+LM5U8bCkNTb/q4I1Xjm75Z
+RGOWkO06PBFU2w9IagiGKf121PD6jrqCvfLXcFOTK+5aLkaWjkEiKy9RRQe469+L7Z5/cgqTtOZ
51375uicNHOjY6WqkgBuFN2J/7rZiFrGWD7NaBjHj0SVKqyf/toUPs7i3eU+qoPAwE3HjzIzEIx5
1E2pe0VcO/R7J/vc1lf//fPL63kNHevfr1Kpv3Z50mXjmsXfr/T7QRszbua2rJy5Bv953p+39fu1
/tz/p+f802O2NvhnTx6FaqA7kvyQmVYjGs3V2l/uZmo/lf/+6eXW5bHLTy93L5vLC/y5+0+/+08v
hXJxZt3GdwGhFGBBJugrMTdI+W/ZwdX9f3zQ6npqjj8/b9Uv5X9+6XL/8mNXUP2M/hnx5xz3I7s0
82puJq23/nXz8qPLxsn3tMg04hZ4uT+vfrn15zEcytZv+eL/V6H9X1RoQDoNlJz/ZxWagnS2nJH/
U4T21y/9LUIL/kUKEymnposMFUnb33hO51+eB4HTRQz6b+2Zrf+LEthArOrhI2N9xx//W3vm/gtX
Fuh1nqD/v2vPUL/+r9ozPYBRjxDBcZDyEvvx3zDc3nALMZIPFpsDo0I7xaHYkAR8qfkzk15lSdSG
UzKfVfcuG058Ua/ryBTWsjtPxo+LiOyy8dsVRv3lpo7nLNSpococAYudYbtkvXcCZvYx6EnGpLnp
rw2wJJlV/3QlOD4Euje6YGRIq+MAoncJe0oHfr2ApJsylTD3kzsad0kt6LATdHSNToL+6kz8K9OG
CKFWufOpEydVMHaqclQlpKuKSbo6mHFVgWngL1AFp1SlJy5yilBVjpZl5FKdKk7Aq77EyFXo0lG/
ttSxSZN8J1vC3adtck1HW6qC11Wlr6uKYLK9LJLKKIz9S4msimVTlc1ELE/RotFaGNLAOmXnqWe8
Rtycy0BmPphaHuBNK0Py1YZDpUrziRrdoFZfqNkNVbyjMmvCpdN/WuZzoMp76HOEKKqSX6riH6m2
tiOlnHGCag1U9Ag2egWMbhlQJ04f+eZKtuFVZ3ExKugvAMZ+LFXDgenHPlctiIFeREVPwqc3MRgF
pme3i2myM31FUGCY43T0t0iqxgYKtghRj2p3MHG+EqoB4qpWyKyaIplqj2D8v/c0z8AARuxDUMKp
1wC55AYm0KnkHXuq1VLSc9lU8yVXbRiMM4TEPjIc3D6lSTdi/rkEeXKuE4DcBlqXee2rvax0rOpt
9eTMFKU+1562kSypBhx+QcrKHOnwEm1eMqD/L5JDPfTTLtdmoFlaFW/Lw+o3RA52MHKYRT4Hdc/a
ZtDO9uTf1H2nnflorjzRGlfMyH+yOEaFpBpKtOwt4tC0+3xSl0sDTSFdEp3/rq9wFHu9dA8BczG6
CxM8LdtTvVJwFFvarOe5XfOo7I2HbTPAphRm9uxrZHiRshSawmKqX+kYBAaSq3WTD7Ms0zOGuPdl
dLCqI08NK+WBM9wmmte9OUsKKtwLzCmq9jiJJYsbiaOtelizKuAd6OvdBkWAopxQTxAve+zfsV7M
ddhaerqfsI1rgJ8Hy+of3bRAy2gyoR44znwgdGeQM+tj5w40qBEUJUb9kckzStOr0a5jm8YT7Pry
2jY2TGb+c7qRe0129j7Jc/tEfCWQ3fYxRWB0aG15CqxGB9460md0bSX8OiKrh4+Ovf9Ye/vAn/n2
Mk21hycwXVmL429loASHYcppwuRVd9vSjRsEtNxhldoRNebUH8ctvUd+cjAd98AcCY8V61fMGcpu
b2b6cQB903kmfR8KaZbomKbdEsYHdowO4Pc02ltoWnTEq6y8MYm5gyfWRlSsuTXf1uu3QWrb0el6
JEk+7SAtfbJ4+k3hF1h//Hdv8gkHYU5iaN51y2hjqdmR65r09c50vuvQJvINoZeLLCSkxT5hIOE2
xbsenNP8Wz4DuhnLPjuktXxIDCzoqMtQ3xLDu5HUoAPHD5H2Vcekxj9XO/eI0be7Sco3bcpeC7uk
qWK3a7RJ0Z77xD/QLt4DkPkOtQanOHMY8JuRmRI0mDYu7MVAp3qfqeQAXeU6IIU5jfCH/8pQnoxB
9yMp1+TWBGe0mxna033DnNIvHkqudcv2pk6XMIFZFYp+oPgGODs2IrQpn/ZD5/dh5c1A0RDCEpFy
sCvjatvcOytPOggS1NrlKL/bNTCXNgh+5sJ+G0WBsrgBHwuC4Y4mCAvhhXIuM/XuSFKXsmiTqs6p
jVGUe86KEQfgun6urPcwvyPAmjx50ut2Ql9IHkRqXeEDtLgSwfYE2E81Mg8Hv6yZEsMZY/R638M7
tpJT4entsYPtQQuBFnmXrrfohYfthdg2smekbkT+5v+YGdW3JpcIlL/X2SzuhZeKU9FWP8SUfxWN
X1wlE57nlhyDQ7a+ekNJab/6gH78hRtDAjFk++zJAYLGhFlOGoDTOkyNu84k46/PK5po+vxrXdo2
Mkr7ZiYphcpU31fFIsKp2TTUZL04c2l50O0n0bbOD29+cfPqbfDgLM85Eo3A4appw9gJK33+SZD6
9NAU0yPIEH/vE3+2a6zgSm60QxG4f+TMZvzyBvJOrLfUr+jP+qUGDkYwjoH2euiqjlIgDfaeAUUK
UR0JDtP0VTuvaZ2mT3rWnFopOavUt2sAgU3fWJouAYIP+TBaxFm5eVKj9xm7aIGTvQu+o6eFv4V+
K/UBQtEqe9Lburw1CQNE1VeeBpytSiJMu57WPyIDZHOtIDoYyrZFdRwGwZwcdCY8IWYRK8rc5RuW
+rfc7phQ5Ji6Zno97B+EKJlW1OrD+4Blif4ardIBKD+qv+KAXO3gWUQddZUrdw7BKwxRJYSeHOQo
6qQ3yzOLK8fVfmDNhark6DJCeweX0sfpDp9I3OawOOijJ0ryU0XOTPAdI5771pjrM+Nn+jECFEWj
PN0FsmAX3aNbyil27K2IvAnLfknn7Fiz2KiEQnFIMApca+8o7mPUIcOuolaOdbPCCmTN+yUNums4
OrRTHXkSfdqEpG24B6/FDKBPb1YOXmFF+qxboC8W4g4R01lf2UrIYu/cahKhATCSY9MZVWgCrEQ8
grBi1B4x29zP7EYhM1G9JzLczqX2xSzAsmftOdCLu9QieGWTw62OanvYhpj5/RplOT1k8sbeyo6D
1zYBdqVpgdq2kW9cdZxDAzR4v5BSgr0R/W5PQDOqWJwBFvMmTpvpXZvmO9mNu4SE61jrwQ7orUG/
oCLEXWskYk6FdJEfyUYXr1+9PO4d42c+sM5ItuZUMMk8Mnw9CMz1yAJ9/ewQNh85dUtzzm+gvNuG
cW/oSpbhVN8W9MTKBWfQxNOTW/z5WzQERBx43lZelwWcq5q1Qpi9aYb1xrtcQ0nIEw05DaGs08Mc
IVQUScdxpIx2iWLAvKRnjLSdIubwUoZqlCQgxc86sOUQJBRU0RoQzOxb1zZw9J1f5lwFOxSC9GNZ
kc5m+dB2Jt49fJe6S5xSbRzqjWSJPnDBpkGKkYZzkpNFtpRj3BZBbhJomVT72bF/9H7QnlxghpvD
imV0ntk/zaidmdSsrl7Sb6xjbar9sJ5H48zFW02eh70wcWL7gd+wNDtZk55dBdZGzt3IZKvXzJ9p
CZ9C6aFteB/7pWeuTfDhWaSLSo52dsVsozYF+sw1J9svEIEjC8xelPN5ri1jwFSdOisvYFQq76zO
/lhM9pXc7q+2gHZ1XTofjQ/sd4Va/Yw1W9+bI5fHy10Be2A3FRyN0LC5ggTBfTGyOF0d5zxwcOzH
YmzComqf9N5uALPm2/Wsq/N3FTDDt7vp6Ll9ylmwfRSMoAazZPKIfPalTmW8uJ0TOYJ+H8sR2Ox6
c1MMLNgdJ5PhKvZCPKDOZ4bXeNnBQZi6yylTpCsKhDvevUGNEdLezBmCsfIrOHPXXZ6wE7Yvk6jd
my3JaQ9vr52GFq41NKTr8z41GbqQ5urPML4916GJXJRHmSCBC0DswuAuvy/FloQEz4CJRo20rwLz
yjYG95qFyB3p8gCggtrdu8EKQaYC7DAytcphu0lxnS6uiEppHemxU3+gOKbmkK9gSFlVE1KwBnCq
e719ahcriYzMAvkGk2wwWvd6LrclkmV/tD1eHHYMyUWPizm+yzw4m5n3vrYt9twyg+TVgvlsTaQm
4HHCxYBmGxTWYeoy4Ct5xju96bUNL7TBP+LTSHbSjd1MymhLP9CMrXFP5lRCBUPh8Nb7dnGUJpdV
c5iOnBq/8r62HyqizvoaLQzrpbM1LHXYd40b2053Sol/85Jjlk5fDlKYGyh7Y5iosEfo0k8MJn9U
gST1xsFbkmuPE2DCl8xxa0KOfkht0Q+j6JfrbSuuoIdcmWu82YvYleN7gLwOS+WdvgX5Dbx3eqB0
0Fm7ojXraZGL7W3iW/tcmZeIpWx+pREamxu+8zV0dQO6j9juusHjmM58sTMn0zxUsI1x6B7wlbMr
OWdPn+HB9maKxD4/dT46P75wWAmp/2W6CI9nzWQ25apJ/CS/pR0cXqfbpwYHKSIVJl0r+9EW0GAe
r5uUuMdCbFwHPJ+ej7EebV8+MqBtlR7O/qwLJ2qLNsoJC/5hFnnoTgaHdicEK1w0+lvNkUwNHKVz
CTFjgRKf3/WDWT0PQMp3o8P/3xlaH1sLkUqamQBJtpyob3TWynwuocnRvd8wUcMeM9pj6YFNW+Vd
52J1zAGGUe6nRyQB10lJCJSkIQ5BiSHDvL1bXX2/6OZ4PYGxPOTmwHpW2mFFrg0LK9mEMN05HI2N
MReUz0yuD+ZkzSEw3Jfa6+2DS3G/2ARx984KoggQxjJ17gGP9XIca8aMrmu+MoAuowxL2FmrlJzP
+JJMLzlO618FdKMMee2NMU13JsU2q8xSw+5ryvOUTM9BaZC3aqvpT8k1HgHOPmVdcN2YM4sxpi9Y
0hOWlm1603XyJzAyNwK3FcFphYrHh11YWoVyw9D3a0cHIGiYyQhisJa5f+m9NI8CzgMk4rnWwdDp
9fsM7AfYF5MIEBUptiwmoghv4C6X+WtP3h5JIMytNN18ypSYSU5eDGcAfjVjjawgezD3NImOEcJz
Z0w/ZW58k0tqnz0mXn16pSck1w8YpI70sRkNZftq4mTSBaNzHM3y0V7tK9MmMWomji6iB0GMQgLn
yFia9kov0dquiKb0ksZ23hoC6CW8k47wMaZP3wjV/LmZvFxtrZTHFgf/ghHeLz5N0ynoOAzXKagD
FFgcbciakK73nX3LMM7gdHRyV48cNhZvwrsAx/gXCKdm8iT0V2YhDLRQZCJ3BIzb32n+cz6XTgR5
DpaZMd5fdM9C18yY85SHsk7poDclvv2tiFZ3O5B5YzOid5FQObUHssCA3mgZDHC1QV9rxK3aXO5y
8jZC3ZyrkLm0+mU2WTXbXI76jHRDtzhiOmI8XwX3TNOxgai/JtVbuGw6SEDx5DHt+ftN6INOSGlF
uN1Fbzf9W4v3T3clbrS20eTZU+/tosST3icpxMb5cufy8GJCzyun/qfeG0gvYJxB+9tYOKk3e7ll
TfldxTIf1XeCYunymAZ6hN0+PVfqU6nTEcW4umUhGgsN0yhDeyz8GKAO0Y6BxSBgzO4vMmBvwGS3
avoAFI1gLE48cas2l1sB/bnft3q+psszBhYAZmT2gK3dGSoUq9khvsgcLUnU3KS38x5/O0DSTeGK
LPV7yyIpQPmaYPoR8zOhM1Oq0A384O/NAr0N8ce/H5y4orCXYGyh1r3X+pLWuO5NLCO5FajNn8ca
VusIZYqQKPI5Hlzjr02lTWDa/fwZ5wrtNs94vHgPLraBSbksunHK9+aCReDPxqj0jmkVGwh4897X
U4ly083PBlqhYNDK7nSRxldKqumxRmeHht5l98iTmxoJDgsv4HjqrlZioQQsojhvdAiL2p3jkiPx
bLjvoBDmWGeUxowjv74YCCbV/7887rdlin4+RxnV+psDebZRK2ClKbuYRy4Ss0ArEfNv9btR3MzK
qlEuTiUxOGLd0Dy/gM01b6FMuyH+s6lIJYlLF1ZQuzQPl8f5+0UcBFhutlknXelvaXLX6BldPGYK
K7zdY9p6sUWwU1h0GaRi6Q7IO/7eNOqPSnvAKnJ58N5SGv6LNPgiEhbqXYxrhWThch8FE/a+yuvB
+7TPzO9Zq9o4+DSgwqSJM4tWeg2dMqkhCRi32NIesuElgIkJm6PknG7YH9MiBoQUM32Rzf0yBd1Z
r7DOc6ndJLDs/d4jzzpR5NISW7CjlVs4twLekpO8+177gEz+OOk4UsbCeBJW8LrWDanv9UHLi+zY
CuipKzFNtiGGm2zAKlW77o9Ce8JtLLAmZ0HoOv7L6qTXVmFXh5HVOjjjOTjUK+FgS3X0OY5rBuko
hapbAhiBpCJVUZBmONcUDafCTsy968caErSotaqX1Ee4YQ90UYFlDyORuRICAafU6qntfAt46PCL
Jd14Hh1WpVr5kpcM+N2C8yXsxmplxO2wC+KxJkIHqAnQ7OmA+YHQ1JaX9TUcNoAeSNQEgYurqDwU
fYOmaEaqPbi7ZbR+IOvYQQylnnDBBhWm9m7r7Betsh8MuEYs5J77aYbKqqSdWvUia2/bO72LWa2i
4DKxu45uqR3amQF5UMCCKKBSluggbrymJy9vekE1fDP17YrkmvLM5j8D/yXIVRyh2WnWNwFAuB1Z
LNez9toCQkbrvR1hSlBlorIzyAjCIQVb3Wmi9n0iW2xH9tmhiuumf82R8Mf07ultaKjsDON9tLiq
ggTworZZzHM6vxRIxZ/pZO3QiSGRQ0ATVLMqO6sH/FLenuSwg+NxfRMBMdOeMWJc9VnuCRpQg/vJ
wKb6H/bOazlupcvSrzIvgA54MzHRF+UNi04iReoGQfHowHsgYZ5+vsw6v0qt6Znoue8bBMobuMy9
1/rWD1eg//UmLNZe/KNfPISs6FdB5rAxtGjAmjuWP/jDv5l5uvVznOK9Wa88q9pHwvwL+uGXBMiP
VCxEUfi4hN68mQbqnoHh7PuAAghlidXkTsm+xeScFbbPGXzgGpxWAYHL7kM5HkKdxA1HhPreqjyC
vOwxXbdRi5d0in6CQnZWFgNyeguyuiaelgaQoWFmYCgHZnZ6TVMdRdVspw1y8uCFGcKEf54pJuHk
btJ9p1bwfZxSexM5MBpHKoy0QriUxEn1CC8uocrR6QfLpxsyxy+iBf/SAQMGbYaLoSvjc2E8ts+L
yQ/PwIYwBH9fLL/fufVsMCEVFEKJPJ8q6bzN0q1jQjhqLxxa7F2OfZ/OJIRGjvNu431E9P5cFWQi
TNb0qhuFvYtE/z3UhnyjOXrO3J7drEtjKhcpAx/pxYnL94gNwzzcIXQ1tndpr1O2YcbY+emxLRts
BPOSI2uSTagi/IpyGEsyovqd4RFCZzjxhYNrJVsZOVwfnNZzvhaFd7SsvAaiBmjJK4b02X6sQcpu
LGLnZGkrphZjnfTG/4hkkk+IdpfpufNQmzWRDWkIzJxS3wx2GJbTdxSr2imsYQEYmOBQCa5J+zCe
jFB/I7jgO4VtvBsR6OyxJv3ViM6cW0FG9nsGcdu4RWitTUztYpjgmHeAPXLt3aMAwtxrtl9jGitM
Tf4iliNBYYQ3V0zABrl6EUthuTsCRT8duwB2KPS/2xHL6jIZr1UyLjuUA6Sj2WgUR1D2xGRRKSC7
fuvZgbsrwklfz4L6M8hXzlkSjE2he+XGBeJyDRT0fKpj92XMevNRx5+x7Sr2PIzpzrGqOoz6mvuB
tuWlnPJN5vVkzTRAOyO/OTSOjYEmc8QGkethWDixm3mUbskn2FoRl9Nk5Aw+xGLn9/OdaTn3nLDM
VZowuTGtgc+mNMnk8j7OXx2RONjnm1dzScOTZkEXDyIYdUayvI7CrzZ9iI93XpxjaxJvOluUaE2C
5tr5kEtIYhK8ZnXSypQ/c2+AD6QeUuzJDL+IDJlTy/DTzpGXxfOPSOuWfQoQe5UL9ysDz296bGmU
saa9F3D9r+IWLF4P8rGILpjhu60efBvCOSX7MEfSNI2vcVhTTfZOdPKZjNSBgRre+0JW2XYh+N6W
sdYp/RgmfA6+8qj6qHLxraFzIFO6II2Jj6QaTea1xjPo6ZLqCEL7JkRUV0XjndCHh67If1IMtAXK
LilyQTEHuSOkjttVYXJM5X3qAbVIJNaukLqbFLscdU3gugujFLVoGganAyddv8C0DiQR/5lr348z
BNygfS5QYO7hohLUdcoFlFy3YrigFuSjDde1OexDCRFKAL2HxqaeIPpDvqhNWiuDJs5zaEd7uG+4
qZcj5JEIjAWV5iG0ww3tz2YV0vKLgG2cPLubDnmYXYqcC08Q1A/xxGU8SA1iwMuxRZCc28dM12dG
+Lg4cVVDhqNwu8krxq9cJKGnzHh1yIgl2rCrjur+BgzYHogEk3r/qaF8v10G2pNJ9jyGvQsFuwhO
kGMYWIv11DvJqTYHKoUFAZEBrayj5zMQcrsG4XLvjNtSq/CD63q9nfW8OFuLn58XUiuwY+FJZOa5
juZEytbdPgCfDpQhcCU4zOxSKEs4Ml25UGtqMaY5Uyq1CrgRtdROxHp2LgHdnScZ2pdj+0T1WRNu
zLGd2wzgZhCpW6plf0U6Ippec5HYAFU4qZtM9eqVq/WHdh6pf8hN5oUQW65rYiGSOEUYPHnNxod4
vF7aNEPx6c0U7AGUBEz+1on8KHsqqZ1Dilj4O8DdPelFou0t2y0OaejAsGWceVtYJS6yzkwo5apV
9ciMeA9jkX4gaqk4xz2oQ1Em92Vcv2dyn5x1aCrrLGkvGqQAoup/3de73UWQDcWByszPXfpoN5mC
hip7t9JyqTX60f1xKF/H1LVOnDmtE5Z2joRspUlIji0NxWqh2DzLYmcobsN+E1gFtRlpPsYqXp3U
mlo46WTCEK6I8Bu75GwKbZ+W1Klxj1sri3reCV0qIS7RCQ0utTwLtotZNz7VZukJtwnhWpleyz4m
h/pq4SVDsDNJ7YISYJ76xP9ZEXWOHao6erTmBytmGM4QDg1juK7kMNyLsPDiNqJsIDUdNOwSYnSk
Bm+oPVgy7kwWcQkr+bYIAPodjIgpbEle2Ir/tdhCpf7blkaRm94o+KV7sprAWVse+yixrf6O0Oz7
zAr/pRYhXyzP3PqwmUlf0dcjspdD79prIa1whZwtBhD713NEHVdtCKW0y5cZNUfXei4wfersMYM0
mvgMyesKdLTfls65sYxzTwuIAmUxaXs09Fic04V6alAfYoWpjOpK7IfZPigOZVGHz2EQlDv1OaPS
I45K0td1oY2xZ3zq/YV2jpTgF/DJLMcmutoVNmx3nKByGlNrhAsJrHyKmgQAsTrhQWfcClp9rUBH
8gJ/UrQjddPGAbiHeHvs5SRP4CLfhJZOHs1ic6K05FwwiJuEK8fADKQjKxCjuMDzS1HYGn645vyc
Lilh1HIWSmBvfSIECd2Zuj1Fgppnm/BfiGo4e3mTHGvKCkqCQ6xz/A/SqZL7Z9th0aZ7AGuSk0Pc
vOHZa4/qm8KdY0Jkmf3F69iEQhnnFZalyTc0Z4NdxIdU+kzUmHtQ7z4PIImuH6Ru6xl+NfnZtKoa
iOcszG7ii95uC2F1cAeWJ23IvseRtXfH2N93YmY3M+XexR5iLIiMiTKZ5MlF3tfabgMmxUb+IP8B
2xtgaqr/AW7N20JoyCadSOeSD8Z3AAKsk5cP7qnvsBONJFheD0a5ocTckE0wN/Tp5LS8LfwfIVBY
rKwUdJo52ruylCJvhXPyl5hwYnvSAhXSPgT9E3ZrQ9mq5NdSx4u6qRaLfGAc4mEjAmru6ptPuBl2
lmXe4e66j2xkuA1bN/UcuVWQ1dfWLiMPcSXG4SiKIju5Fod8AdKeCvobVzCNxK0iB6zZEti2y5v6
izXAHA6y4d4oDaYP0rzBnGYzUWtZkbZ4EYn+yAiCYiRnLjPHqdAKyJVJQ8ar5VK+boyYY1A7mRX/
Kkrjz5q65qoKime/Nt/S3n13cyTCtRFsmFECLa2hi3uOc5fjM96TxczlXO9PBPqcO69+dwaLfoej
PxMv2q0KD1UOYAJMl8X3KDCB0QqzQEedrMs4lBABHXCSjyw2sV+G+Ww14aUCG1iZzrgBK3Sfjvn3
qss5z9qXYSRfAQD1J+X47llQqxQ5SOopnp/zUD/0jMeAE0I8ncuj12j9xvMhj2ONhIszPPppCFf7
yfDCaVvbRFRNboLLkZFxUgMH92cCPUwmxgxSGaj0I3F11SdH5EJSKoMyMwnJJNSBpXcpIAe/Q/5A
t6A8z43jYi4sj+SaDT8q/dHxQvszDiEPMT/hKl8xRhVgEfxRf41s7SGgcLFNjSw7umP/txEwrm9i
8TQ15H91lRbs1MFI0Xk4pJgeprLV96Pr79VZJGjNdFmr1WyKzCOkIGQIKArm3ngwctzbQVwGp6nw
9ON/Ewf/S4Hsli5pmf93ref9T/Hx18d/UHpeX/KP0tMw7H/TLctFoQlhE56f/UvsaUj15T98QdtE
yIlknwA3YA5I9EEP/kvj6fAQIg0et03Tdwz3/4cvaDg2ce6/0z51F+AlBQ3Ql1ZAXeNP6ijVqkmU
bW1daKetUtE6W69FhBfhIl1F8YAplOLEOi10zLcfw0ATvM9i546hOiAos30JK+K/hBOR/qqFtKnN
dkuHotakt8jlfN23DGgrs+2gpkwfBjMxmjHddqCbvR5toBs642dBsSEfjJJSo/fSYrLbBimD/cAo
H8OucvaGf2pJgb0IOSCpqLosbT0T+ZakAPEWDKoxjIa05ww4NXetY3/1rcjYA9Pvd0arR2t9FN4W
mPlR7zX9ZKCH2uGi7V77qP3qWAMJG3r1zUJZapXTfeCH3TEYRnKcxTitwe9XJ99uHmKQSavZQczi
RManpwXRNkT9yVnCM86haZ9yfYCP5FNlhxS2CczBPw8unXQ9zZ/g9cCUKFqKK/q3gQpUaiznwMkP
VRjV78xyHxN9viwwWDajaAyGXePJj03an60cbOnLUza+E5dGnpDhdttmYf48LsYzERjjSr3CjeCq
+G6Afs0vCXh3BvhxBPLi3aQ81k9uTtEfQFyYPTrEre77ikY9jacx2Ru0C3ZVY/Nn138Pg3ECDIVM
sO8A7CXlbrHKcBfYf7ka5+rOl91pyz2PWRDeg5p30XTNnfMw6kCZy+zBRnS5aohR3tjB+LfXje+T
UwAsCQl6wT9IF4zT+QCRIk2TmIixHKlXmXeASmz67HoDiB96mEeIO/oJggdpGTEZGQKSH3B2wIEo
QWCYvS8IhikgCiO/WllIB2BdWFxgNeOxbsmns+aWWlobXNx81leaR2xxTlrMWohT+BilWnLJaZxs
5H9TLan2lXyrOgdaS6oC5ZpRcBz480AtG0vaxjPz/JFG1Dl0qv7O+4J+JjpEXVWs3eFvpxXhhfbD
jxIG+R6eAqCvNKBU6sd0Imr9W2QTWIzMyebvCc+LHlQMheaKhFp7JRj23FuMRsYias+W1WyqZbS+
ZbVPfrN3SFonO08QLNFQWOcUccW6DCUFScZw2NjpAncUJOlY7La9XoM/0pFQTd0+7ri2hsYkLi1b
cWRqsI8TLlZCy6aN21j5AXkQVx1HX4Vd6z/yrQ++C+Ab4pmznQXVqTwrvzFN6O58rlsYar9aOSjp
Zii/YIF80XVNbCqRA7VKsH4v03kSI8gDQ8P6GmNuGrlKMoEcF5RpYB8d4mo+NItm60jebq4H3bY2
OIf4oNYMTTtC+Nbv22QY9+Gieegaim+mV1SXwqTywkBdDrwp1uXUpe79wr+LbbMgVtTZIjcsLEgf
pFe/67lx6XV/+NkMdXXn6Siy/UrsQB85q9gI43On8x/MZGhudHLXLnic9T0ZWe+mU4fnqEmm7ThR
cCL7sTmFfk9tEefpZtGm/CFEr3xwPaTHSW3nFyvPKLCWqAKiFuEt5G7IPOQfbWLG2tvGjU1JwSMX
QkxUzFHs7Fvcr5u0IM3SC8NX+mnp14Hs+qrx3bUwExu/HQX+Stf2XdQtj/zOfrb4J0zaW4mQPtu0
uIsx014XeZpeSifEWWZzuLHJNdcgP4V6LMOKidYvRLEsSuxNkfZbdLfiPJQT/fSedpXufp+12t77
0Mc491dr2gst+SHIU7HJ0Y6RC0suCClCJn+7rdZKS7qHaL3+6/F5xl2kbqvHbzevz1R3eq10KamH
fltVD02OC8p8Mh7VW6inqPv/eMeBqSz8GPPF/wAiWp8GQ86rl4WZRixn19dVrWJV3VZr6klqcXtN
5kkYlnrY7+RE5fbQ7TW3+9Sr1QNeLhHqdFTWM9OIBT/pr4/98xto6nupJ1w/Tr3Lb6vXb6s+5bpq
BemZwz3f3778bz/u9sX+/KTfbv/xO9VrpjYEGu+1LRMHvu3tfdRHd634Ql+qBN36639UT7n+wNtP
/+Ot/3z6n79Ovcd/+s2ur/zt7dX3oBTRM7n79Q3rmmhTB9IqDgyNf1q9v1ow4+v0rXr/376Eeuj2
2+rAPta50+45Bb5HjjCvL7g+a7JdTAakdfYWekw6fqCtzNC5pBXZXCTjEvocY+JopvoJiFpFI51p
XlrnuFcgfrO7qHtvD/Wtme/dEIKSfPbtfrXmyBerd7g9en2Xjlkz5ZbbO0rbdVpT7JqarDmP+jaV
VbdE+FT51KrWYG+73p4TKrlxmUACvN1Zhpk4ZiCy1EvUA+p1YTwDutXHhzBLAs4Dso4XFQHJTZSz
OfWThZT7wbnJmCVjdcXBJtdam3KCNTArt5HKbszilFXLfRKEE7Uyjnd1iNbqVFCb92ZP0WkwqjMm
GS5XGduMMXB59LtgTSbrT6/7yZkc9Uc5f881sk9phsHMW+RiVsQSuXBlZfI/u3l7nnoZW4M+EVp4
6lQDkoH6PHWdRyAmPF59+lHGQbtrWyrYq2BBsWZb43tYuF8qasgbBPeQsGTNw5Xz/l7WO9TNZoIo
4PblYR5J4bLcE+Ex7gnNvksvnXzncBqI/pOFGrUgE5oxmuq/F1QDD6QS8sf8q/GuyzV1s+4XY0//
4KhNbnxWixHnEOVbruaVMDR0cK1fnrucsFKGbj45vJQn1QJDzAoApncQsh45/VoMlNxqgypxXdUV
veQQh6k7uY90ZRKgFITfzXD0MQf5GzcPtUNOq0FzlpLQG1mKKjUUfIO0Y4qFwWZvpS1aUIPiiNdZ
Jy3SWumN1rFfgYJKW3j4+oggzRXNu4HHu2VEwuWM/y2dngsDmUJcx7m5tTJsFm7ThzLWODzq5LlJ
NYqS0xj22bNHyhKGz9BP+mVTWXNUa6OL24p4j0Ms76f8Gq8k4AZrBvuU0qcoZY9aIxGGQVblXBTA
T20D9mwAxVS78zUDgHmthA9QLsRp7CHRNfkz9gUqcbIK4xGry6Urtw6oVUZcT3yHWVY8M1V5GeWq
up0vJUMDhnmDbGwAZSQQqAn94oDNdpF2EFTxMr4mKKbit0U0xz7KzILmhlZC6nJsWuMKy+PMProb
HaHjIUUQgJP99x1Q7Yp/3DcDgNqQpkiEvTwbBh4ALy3aXXE8isxjyp/0223XixM89kQPlNT9qBXL
3339Ocq0p/5xuQhqrO90HpBly31K/Ty1wxWqtHrdDvIRPzzaMQUETIIFVTN+sFq7LdR9faaZW6TN
b7iCaAqlIX+JPJw1evzY7n7diX4GWk/fNRt11KldSK3dFuo/UDe5VjJcTW2Uv1zsFbNTiXLU4nYT
qcg7PgdkWrP+2Cejs6wVEe26atlTsBK+Q3CjpFSaUmyjIIE3UuDtZtVBJSS9cN9L9NKgePm/FrOC
5subEVlbe3aLkz9adCyy0fzZ6zNEWVnXVos47jA6hGyvrmlCaOblPuoGkrszG38e+5P6/8Svv1Pd
d7vZg7bszBYkL4kF+wErk4A0sNIW6mnz6LVnd3DN1VSn9SYdTbo6kWN0+5lrnvp9Noe0UxndZtRB
MZWEixJ1Hpn5xsRCxZFFg8vU6HDb7Ubo5oMfQnk0EbaekhmNFo3tYZPFOl0hK72LkvTrOPaJBDYT
BdvCglRfdlBxUhIeChTFPajfcz0UNH0jSoGkAp8A8OwoOg8epbkI4ZXaO3oL8CO156+KmXrd0pKe
etsZvMYikO5LOaFPaeHRbiY5N7Lzj8lAShfI6r4nFxqTQa3ps7XqSanuVARt5URecRlB6QMz4R8S
PabRNbwOdaBRp86jTZNbZD4LCagyDecuGQD3LvGYnnu7HPZeVz81GXxIm8gVjnMY9eRGVBuqw8Om
1YkzIuwrXwmvKrf4Z7JDjDbdqLujlZL6OJRjsFbdpR6iHxI2nZapum2QRY9Yh0tt4A7hCbESIa+w
5xGBMYzW5Vh7kldVz7SYqQ7aqwXkBSXGPfA1Ks1dQNWSiCi/bb+O7t5i2gscSL47KBE5Vwv9jfqc
cakssA93BfmtkXSJFFO8NnrYNC7xTkWHBLGVV3f0hZTEDbQPCfFftaHrKMDkferRJY1x2Hb913jg
Gros0UsY5iGiiIjSrv1jsTW4nTBOzljwvIS3k74AWIzixSHJBQEqGd5D3pPtmS3dVn0xnFHdfsjM
uyqoHlrqAlt9oX+q/R13vGnciDcILPPWH/ttiE50J3zSHSaUdJE8U6pFqWkRrBf9p93FHVg1sV46
/YsfNskBHoXszapGrFpTDVpAbHRp7cE9euLB8yfgUDGStJITCpGmmD2vT+DoPWbuh0frGYbnSOoh
xWJBB+2gQzS7/ra4RsupAytewVjh75MLUdAbExRZNvnAaWYmdHxuXyOtX5hsox6lYcHf42avfezm
2zlDL215yYzRoPQ3FpFdPuqd6+5RzLKlZSfoYxetCvBpyDgNTFMnteb7CVTQ2504YDF0dPMZamJM
05knm/Isq9ZuC/U09/ZadVu9a5aAka8NNqB87W/PU6u66WZbx3X/vr5W3Vek4zEBSbsunc9ML4Zt
lSMMGas+gsRma5vOSb8QJr9cgsUg9L0Nl0M6PqdtoFFMR+3TerKEps07NNNIlIG9O3PwIxqL16UG
UrEQbrQZJlQi9YKYcQHHiY+7BllT7gvf2FKysLdtjJm5LSNzRUsrBA8/nccibz/DqVvQvATf4XL6
q2qmphSKxlvbHSooCqntVtMzsi3FoiExij+NdD/5lv29s3wd//UYPnhx1F5CwCeoSZL5w2uTu2Wq
3BeT2teBEtOwM4QjvmfaWT0OfRx5OXzEE3H3IZFew4s7LdOHHQODQh7kAdaqu/uyw6EiSy4f8I6f
S4CPd1FeRau6S/CwLKCs1IMdyrBpyD46xHy7YcHrlEZe+dLGy716V/41dvXEsS8YOMYHh7ow5hA+
rve19zi1iy9j3WIdssOMbjk2Kp0EvsdKp58xBct7Y2ClK0vCSxtcTK9jHR/Vj5j7UVtXXWLd1V1j
PDL74YBgvP7ouy2n+RngIvKL8AlorXEe6K1QXeOnLNQUlsDN3gqtXfbe1Bt7Ix/iNyek4Ci/1TDH
EKlTl1g5L/efHHS1169rR6hikj6xHkU0G3elNeM6lm85ezYRyo75CnSvP1Rzhf2p68f3IkZhIN8S
BCMZJJ2FwBogz5dBTN/V/XqeYLyJwunBnAvrsrj9iJyAFxAaeu/nevNCZbA6dlNbQLVxow8SN9Vv
txt2J4Q17lGM+vA1yZZn9YZj7eBswOx3H881Kh/iJK8b0PFRuOtxx7Qwy7fdMGQngyb+dQPq3TmI
zfH74qJYy0zU7CaJ2S+Lmd+pd10gjpJGzi42hG74oHY79cPtRv+kGm0+2/qcnGNIoRv19UuD4aWJ
lyiBq2RAXdzNDflasVcFT2lEgTWYrfKzHOyTncbmt8lfmh0T5YgWdzs9RRB1r88YovKIezF90xLS
rkENNaeaE9JTpzlkXmKT/Uwmex86yfw2JGWwja1mYfxGdRRPECZtdjT1ScU84FPI43dGW+Y2jSz/
ZARh9zj3PqVN+T5AooAIaeI9d6iEaZ5TMH4o40ciJpK1egZ02E2ki/C9Czycv3UxnpG2Gw+UiYu1
+hQcfrS95v47YS5s7tDkQk+Y9QNICHjN8lNcb2Ha7vjfl8YLNlNtpHdlRR06jxeCh+UzULStsER3
H36HRzjN7f6umBP93sHBe/2UiXNAkPofeeVPmxIEwx20hPre61rn+haBwEpnQYeWT9BrUha8HqI7
ET4BWtQB4Y38IA9nTDp7P8TgFlzTve6S+f3CLghGbyQN4DP/5wtVBgJKe7Qu2CirS85nbbJ2NH5Q
11S/empAzg6aFt/jJwvvkoQ43MZCNlpoZ/VJBhkQSKCr/r4WrX43hNjkQsRGH8L+pp7QzdO8bvXG
vu8NeNB2hwmjj3r9vkJpTImZMrVWt38xJKcUOfb6sxfFNdc2fEPED4rnxcfmIwy3+Qvr3Cp3B/sD
gZ22znEd0+51qnPJd9yKNNFetT56vr5bEH+p/cp5DbVckwCq7OwZmn3PzkRqbuyHHz4bSz01s7DZ
0bpunoFWiUOVEZ5oYVt+RixPz11+N0whGHvM9sP2xnRTZ017D5pkPENxtmju1ijk8uZRPZWj5+uA
4PuV0kq26zkkTs3ixw+AbAlW1Mvuh4UXjOij9i+LSe3K7V3tyZhn88DgCSWIa6VfMN+AqWaU/1fB
XqkHQvueatiNAG5qXXQf4/kGmYVhOyk4vOzFvld/j2v6r0Jvk1e76zGYRZNxAn/XPkydpq9Nu5Yj
o2/qmQu6sxXJfcbTFOKHHWfJBxTteRqa4csISeL6f89Rvq3sYP6upXW3EUPvXLAwxnfTgNF4CL34
bRmyi/otQR286WKwXrxYE7ul9FHn68DLiAUb6XOzwxniov6ghpncKlqW9kl0Y3bEhjXvIXo4XxKB
aEo9JXSjnU+7Ci4U52rkWePFM7XqLrShCjpJ178ZBVBx+R9SqftIYmgNfYHu2QvzAlX1VB3dMvCf
3KWYKb5a9udQtFszaLX3DOfPZuyr7q50jPjeScmDYRDZ/yj8J1j/zuek4TwTgUfgVqFjrGnseEcX
e/jWjvNFvRfMib81gCRf6S94+24aJqSdXLq9CJA339r5FElwmObQeAucRWwXN57OkAmjh6Kr0AjK
76MW6uYQBdq9r7MzGfLUpF4mX6+eYUWn/+6N/1d645bBbOX/1Rv/AsMy/h+bj6zq/0OH/J8X/tMh
D9x/s23fwA4RqDw+mXf3Dw7J0Gmeu0Si2f9iJd0a5s6/0SsntTHwTYN+tkVf/Z+GOb1023dMWu5W
YGDCpMH97//rc/qf0c/qnzDM7o/bv4djGpb3f0CReA9klyCYyATQHUM21H+LCg30ruzDsNHOXCXp
GUodbukj5B+w2q6nLjt2EXIWrevefIeMY6IkqJKhRSq0R9J0yKtpdFLYkUIhrPV2pgC6aRxA9pDI
BAw4Gh8j4mrwMsNFAuveglVZdPrOVrkQ+pLnhJVH29hI/f0UwBMcgnhVV8Vz5w5v1tLtI6w5q3Yo
7+MJv1DjPxpS1q9XqJatFjI1c0/g0cG73npfgqAiqmO5H+3pE7AmulObhKhiPtNcpPAzoSUq75zM
AGASe5eMixXlq+y56pMfVgopAbh8reGvh22bOZzrkcx423qIiXt3iCtJ8y0eIufOgGxBl2UDYAml
gFaCFsn3uj2dk2pXAkFauuERIayHJAnf5eS3m7D6e4x5cpKDe+xt5EDQYMYhe9U8GKCQK+KVE3oU
XrqnpYoqRGRMFoLI/FwgdzKqxczbmM9NnmH1c770I3MNq+4prtMS91sS4R3xtW7Kj35D+kux6Uhd
MFIaJAzcmI5VCyr59gVYSr/RR2iPBonwA6QWNwH7FLkX4t57Buyv0vsrKlRj2lhcnIKfm/EvdBpF
aKMUj3WuVesaPPq6TmKQHkc3rZ/7cjr4C/FVxpAR7+RMa58o4RX5ax8QRAWQmwRNhJ/9VeWPnLIf
nGj4QhYINogk3mVD3axQ1rWQe3DKW3gNItmpTTXtPoTxCWVx+tEW2Z0mQxyaPE9o6zznyXPtfmL/
uIx1Pp7wCqEAAyE/k7mTEoy1DX4AIzhzrtfX9UA+70TzkW0NebXaj4mAOQRj1J8a70hwHTG92C9a
Yyb8JY9fBmlOwllwyXAsnGtPfAWW3m1jYtfhd2U74WH9oC+669iYK9HBp4HG+q3IJ2vjWh2zez+7
o1CTItTAsz89dXGZH5wuvrcEIjbLC1Gfi/Kt8Os3iidwS/RX28u+1VmdrzNho8byjFcyFj5ncdGD
8mJSXfIzdLIw+lHYuh75jNCye0zvo/u8FNikY9Cucz2eWkpLJCMMa0p+j+jIIAffe1oEOiRxnuF2
S0gQ4Bqm6I7VDth5lpVVZed+Go21Re/oclt0LpOiiiSPVeFHQMCyrOSAHue3ANv7yjC2NJN/DrCR
MbdANViQYgIZKF7qmk1kCneL/pOQPvsdcxmgYmz+aPdiLJ0EWZTCesp7ZKYRLXfaGxakmRaXDkCP
oI2pEfblDrOTTgQFsuFRukrV2u0+jYIgppBcFrHVYpDFKbXWyTV5Mt5Otv/2z4NS599gPSCeXGn+
r+vaUjukoFA2u97+7e2KDOdZDRSkNsnumMbeOLBjXm9lLX/T1khSmFVm1a/MKXTZOoXnrUqnpxDe
Yez0h+TT0wl2qQe9aQ9dRPIls/iDiopPyBuP08qgmSNF5nVQ9adowZ2o1kYL0vKcGbvbXep+2hb3
yZQQ3vvr+Yl8kXrazLUEVgZobtUzVC1IMtmh9Xrmvk1kMpS6D1Q4smbZ5VULDMnOMdL3t3tuz6JA
w6sg55ec3HDsylde36lX76fuEEn6DMG+BafN3u2I6ktHNxkefmJ/HRnvk1tWj1n6UfvQjM2O041v
vY/VS7gM2D6ahMDyymsejY7cp7FnkEryxH5o+hTKUfV1nGdmmCZRw65Bqrgs/g898ivICfg1UNcK
c2XG0fIxxeKZsCxEmBleNK3eWQW6m6lJ75citIGei69I8GnACPgpobdoGxNs1Kn1zOZgRtVLx4Rh
7Vn6nVbXw7ZPCYzPE2ZscX8elrfJIMrTn7uQXJY3+jqrwdGkmQuToawYTFPa31dZd8xMnc4bU7Wm
M7yDVlpMR+bqhz2R3SgBH4e4E/4LDUfslB5EIJJ/tjX6qqPmR+8Qg3+W8dA9u3pYPVK+Xls+dVKt
H4DHDclpqcrHIUQl60Iz+uZOsjISPxcpieNa57ZbDEfptvP0NxKnFpiGjX8ig4igAnhZ8V9DPTEB
iZ9a9q7dWASIL1AG0/KcSW0s4XuFERVVjHwcxjVzJyhIRyAS8d41QyrVHGepbGXFbdeUB3XbF+AA
RHCkgqgjXJGlf7VYkvBBCI+gBlnSm1Ribt9347L17cFa1VhQOURkZq7nCayW6cmdAmJyVfV8GRJM
fTL4SDmV1SKUPfQ0kDvj7fZc6+a+HuZ9PFUob81fRuaeEzCVTPbQFu8J7eWpw0OiaUQlKoppFjc0
giXPVK6p+243vaV+1ZhBQ/3jPSzpFJivtgCk+AljhYMB4hjOHjhh9ahdV7hyTWtaF1SByJBAsVKX
c3JUFmm1cAwiV0Gc0YVWbRzfcr65rvC3qn/jMCowbTxyyjC8yEChRNqQbzeR3hXrMEIkX/hSpTJJ
Xf51NZaEXHVbG6mpp1n9aUcLaGcKJCqRmD2SvyEPS2TH+ezNh3Hx1wjuG6L6KPwGqXDWarsuyh2g
umROXbj7Bl6P2soxDgP+4frar71tZdVEvDZOZPtHPZDP2U9nps2p+iYqg00t1I5wu6nWcGHOgBso
5avtrhqKapHI1om6r4ZYhD2rZWZXuM2L2vbA+OgCqlWw76xiPHsLS/JEyMSuj3ryQ/m6Q7gQmywq
q5X6R1Wqmlr0HtHKQxnGHLn8jWqh/u8o7Yy9M/UHlYhyW1xjySRA+I/7Fve9qfDQ4Mwl01P9p2p3
U2voIqUiAzqX2stui9s+qO5Te56HN0vnwNoLTac3EeX+Q1ZWy071eNVChZIw1aNNo26PCaS5PGl+
qu7uddtdj1EFoVarSdlzassoccqup9o+XkSnhyHLv47U2zaEmCzZN8NBbRtk9dTmr0fudd1J608v
hfOgNsxtE6kt9sd9XhmIdZOX2fp2tKpmMOJZNpg6mtUjphaH2ybWXxV2QB3BvVI4qNtdijYJmZhX
HBn2SUUlbUF1yKhDSTXy1drtPgOJrNeZ9n6KQE53SOIzqtUOUR/7TrY5FZhAPXZ9gryvinoyT5wB
GSf98//N3nktN45mW/pVTsw9euBNxJm5gKERnSgv3SCkTAneezz9fEBWVWZl9/Sccz8RFSySKVqA
v9l7rW/diEtP1Pjr2m/3CUh/wTsQtaCaJpWHiJ0D+XJRAIh8rg9WNG/XBvbPVnZugY+drfptPYTS
MqD8PKKZ6jOmrbfLKNd3TSzY609w/UkWTRgCNQkkRkoqzl6XIMmoERv8cQjnMy6++MeRRaCtoJ6N
fSzk/Br1BkSkRGiAtx5iPRtY8q3HvSS6LI+zGoc6XRLo+rjDfzb8/bWxUlfQe5IuYQeytLytnx3/
X243pi4g6yCMbFp9Nz+O8NLYWpUn4npn1rfCNmnjjfjX8Ly2vteb67X1Yj30631LS9HPKwvt9J/D
ZbpG2awj54+rPP9rDgI1dhK62z86OcuH0aekyHY/+krYpJcPtnab5KCeSVflL0aJ9dHuZ3/oZzdq
/cuAEvcEQE746Etkyx8+8ubt2qaDtfhHw+5n6+5f3fejnffzb4jfw/zyr54CMhGRr3P4tT5NurYB
aQwfNA3dyy8P+1eP/e0+Qlx1d6a8S2j6n31FQgTejQE1zfq3BTIgmMOlK9Xtd6AWTEe5hA7mp5WS
6i4Ej7/u++GsBIW5EWvZ2I5DSluuA/amzyi31ocF02LVXB+yPni987enWW/+8hjgiJ4WK0ek1KCf
auVZCkmJWP/qx9P9+Nu+XHxUJt+GpPQJJjHe23qx+j9//Gs/o5PPOFGIsmeYWPu8P1q+bVgN+0Yv
J6/vCFjYrcY7XcDhGoWEnWFk2q7updXH9MPzV6JCZggvpORmvv/JFK/WVcIKMMcZ+VKLquat5pQp
bP2NuUQPLoohvyT3rs5gRx0ngfgDBBk5ztI/L9ab5jryrnfGViYxXNALj5YF1Y+Lddher5ZrJIA5
tVfVFNvNoHTfM7WkErkMHeSxIvhZVsHrTXWdEeL80TQg4Uxs8NzVidWLoFV6VqvrZ1nv+mlkDGJJ
3/b4rFpLG8vdyodHlo8sb5kaTauEwrBMd8GytviB0l8Z9mj+E6cb88kJkf0g1VtWKeTaNPTcuda0
WXjTcSIuA6iGgkXD8eeRGshAvGpPlgsJNx5YBVKtlqF3XP50vVZjkAQWPe8Qy/FGFo0WGhTGe2lR
t6y3B1Cru0kWke5pYrFD4wCBZrEHZrKmMkr6Ly0GXQSsy2JxXoabH9dEDbiaYA+ZMksYJvicZoXf
d71GNIS1iefuFFdaKHvyyV+UROsHXy/0xeBGaF5ngwfFvZkvtEVxWaIV7OVFB5wvSqbOz9x4ocEM
IdiFRd9C5zcQKTrza5yE4LbSinGpBzOULh1tRGuMxutV8jiZkFX/iC9/3q+OTpF61uSsV1cTJ+6K
aZt38U5Z1uCrk3O9xjFiXvh5J1Bhwe3qCi7e8iF+XmRmbGznBovwX/dryxlEkP0i+MKUUqpavRkF
4bo+2xoRsV77ebF6VFupeQZCZnrrE6Xr3LVe1ceML16NE0epe23XqmzGQMYG3Y7m24/IgjV7YM0j
CDUMvDFhqGIicIDXfxAKhc0BCZr+cmjWs820MoIY1tvamskQtgpokVJ5h0F3yLNgYjGwnHzrRbTi
e7I8+KLYV1G1l0WeWrbsGczFvirz8YbkuPEGdgm5MT9vZ0EFmhZJob9AleLFdFuYpEcvpjUsquu9
URTx5jR6kwufybem/ibwuVhv/tN9MaJzCwd4BnGA2KZL1WfDufNrSMKyx7qGQlEfoZpR/c1MLpND
J+e+N4lNjUTfADqh4/a3inxr5JnvleRQbiZxJmhNNOdbKbubxNzYqRYQx7K6L5vZPMRj8TCrvr+j
AY8pUtFfZWkKjwM5KnUxi7eYX4pjGpC6aZ5YbsenbhKV1YAhxYuDKAi9geBmL5IwpZjKrUU198nE
97FP+jLHO2vcAeldqjB4B3qRGN6EQiUp6P4OQQThVlNEE95oD+XQH3tF93cDieBCMWjYPcTRnXXh
1BlsP6YGIidyvsARADxAfGiUvdqkZ3K5BE+wmnyrTpzReqV3+7brdlZA5HtQaXhJjfkYR51AKXh6
HhRLcaA0YpYywDMtjRvQ2KK0b+XhQmWrOkCzrYBxcq1Lqs9GyfqNVjUlAWnrIpd420QYQ+j2VefM
JerKqkN3ky+YtDwwNEfwfdXRUjU6pymeTInd+CaLnTmFQCkqarHD4BPs8ro+z71xYTgbHpQuMjeT
jDVJMgA8qrkI/SEdsksyIQFHwkYZJGhcLRYrpzZofSvEyWJqAoxXdr2rqHLslEVUuIJpnhTcQhuj
gmoYUpuB7JVSKrxqpfCQ4rUFCBF5UkshNVO6pUd9UCzQm5Ratx0CNWzVXPhtmLnKaHmq338voNOT
FAcaEfhn5SsPWp6NJx9W1k7VpsdRlEOvinPoHku8axnOpheTr1KoY436C6RuTWV9isUPvaGIm/ff
y8AHHzaLVPit3TyiAVX07gSdHnaTgs6pBjx4nNP4roL5uFWqsN34jVJSHBvFKyHaNnRaAufEfOHq
g7U0mSmcpCJwq0UHk1poSCiCO2NF4JyGDFMV0O8ZWlDaiyMbjGwxH4MJ2prO0n+jEC+3L2eZ1LMx
sOcBJ3O6a8lAV5KlIE30HaSx0O5Y9jmilBt2gwSjWYw4iiLElJp44XLJFUgnmnujUE62HhkaxWiC
KtuOZkZkVp+ttqw3FdQeCRtMG4SW2yWorsFeMpuT+EkFAmu60iLbzSX0B5blKkWKZSaSPLh5tPY5
QZ28MS++uITP6MmxMtudmJbZPkmqj3KkWVJIIGz/f/fuv9K9kxXCPv5d9+78OfzH7j0jbjGqP38z
uC6P/KN9Z6zpJPTvVELufiaZGPI/CBGhA0cjjs2VtHT1/vS6av8AfixxhA06gSo0h19bd5BmDYrP
iiFpJmEn/53Wnab83ekK8RiPnKKbrARF0xR13sOvjTuV3HCqfMbMWNlsk0g/KVnomZEnPFbHdAc4
ZpY3lXED5KcgivyhJXIreGif1MLOyR60YChtxpkoyee2PHT+VoJnlG/h+WmkcYk7C5qx4KLSDR8B
81fUz/y7dJu58iZ/x0+LqBMtYOa74aP0vToAUt9joo9/hPD8rV35t/bkb83JH5/RwuXJzsfgf4TD
/PoZicqaJDkz5x3ayqdOku7Cbt5WTFSQmr91dfclCAvRNYletUi6++WE+KNX+uuLq9byDRbphAdy
//1//Q9tfXWVI4WqXTRETfnt1RHfUUIOlHlnPlrDQfwq7uqLCjT4rd0QKACOAFHol3Gv3hUgeQ6I
4JN7YWOerHsTTOalKj31KtUn6YhO+z07z/vkSrxac0aqMVw7Mj296Dy9m+QLYye8N+LtHLvFbvxW
PIVH5VbcluZngGiR6XF+Sj4TBHq36isq6MLGbDnzmBPFi9mwEdHb3Vv1mD0SJSsoexiemQHR21VA
0pcORoe5IlPRbo7ZEf74d4ZaZYf31KxcRLXMuqZb31dn4GbSodmaN4qbvRX0C+3wW/zAx9mMz/nX
vEVmFG2iE2TTzk5ku4fwtRuO8PU80dzEn9MuczuXHIYIZFtpf8kHgIMtNNRY2CPSbT5o5HaE1bnZ
R8MSQnWFff3Wm0SYevUjJmOcaDKr8NAmfB4HyKPfbNP4Ot3OIPVPge7U5kNxTT7xmI50OU7Fg7ad
70zaSc/Z8ACFHfYpX0dwnF7yd30zwNuiUfcVV45x0lHFSSyKvTwme2LXmxsCKQP4A1BkabuqTCUv
PXgSBHc0ZVJsROJVFTdTB1ShfiOL8KO49S9tcZbvWXSA7OvZggQYih3rLtoK5+xmOAc3hJMHt/qh
L5wJkwoGU6d8T0kss8lsCa+Fq3zFHkEM3SYDEg/S7KONYZ1uQvqdFL0d/4UCW1ncRg+koZoHECDA
qHPdoQ3h5Yd5q25CT20cK4ZGbmuv0ndCeQHVnuYXcBiWm11ohL+FJ5mMCL7apnSF3JlBzVFSme14
axxHVgJggQ7mM4sU8vmmwk0/6yucifEsE5p4EV8BBWl3wd4gaIAYwghWhcO8aT30fBNsLVpszEeQ
Z/Iufu/2oLUu8h1tH/Mx+NDPXXNoBTt69h/N60zF7gzatm/dDhDfXj9nlwGzupcpR4NFgAdHuNzl
HwMNcyfeVbv0xXIZT+iLdU58sm6tJ0xXBep1iMhe62T8Ouz0sz+rfJsHOX6AB11d0OxcGgJAgOvT
0ifeMrkZXhCtG1e1cTs6qTZ+kNRr3/UdKWKVTSoc8YJeg0h0Y121G9YQ4akhXQGE17CXPNqo+jfs
tMsH1De5Z+x7GtLIFFgGYq05TTu/3KmGXTv1Ocucbh+ektiRSNZ9ZOKeWM71HhsqtsE93nA0sN/T
x9BDGvaakAq7le1pN95SxNW38FC0ffzYvk3ubtqFjxA2BVZIgRNcjNYF0qY9+O/Nl4AfldijU9/v
p2c06R5rUOva+TYIGGE71RS87ZFyp4NE3bwo3aN17U/ta3hDNgqA8zvxmchGN6RWcidd6uH/MTgz
/f19dCThiTHSMiSJAOZFiPK3sVlOZ1MbdDpoTdC6uTVv5cx4NqPmxxLm/zoH/NMgvLyMZsmGJTLZ
yfoyRfyiT0HiBqPZl6qdJg0Py0tY00j87fg5N2zSpowQmbliiv+LcvEvhn6ZfJV//nSqLGKk0VXD
VC2RafzXlwW2p9KYahrM3NmzMkW+p41LPvcYILTTFeFN0hpWq+nGL5/iwFJdyXwvlAHeEbKZ3hB0
zHvTQ+FjB59NmZ9aSk2/0wDTRfQZk24k9wpXRmXWzUZSJs2JxEj1TPIEEL6SNjwDm0P20ZzbkSEj
nVPXKtQDJvf4ks9KdVSHCc19bIC03bBRbp7ksgP3Z8A+BHZnkQxaIFQ357s2yyDMlUz0wbSTFUjR
ZvHYakZ3H2iNfLLSHBJj2btZYghk/gXl3mqb42jk0XYKmMh8sXy1+mLPniMljH6Tat+6YCB3Blp/
rZNpOiIYKTJ4C+2NmCXSVhFn4jfyeaMnccluqMbJ7QOUQpCCZyUCzkuOxyIoiXI+Aoe9ZTgw7ZxA
+Aq7PY7xrMKxaj3LZS2QFjEvlcvoq6tb4lQGwBtRId4nuq+eor7CrzPDnytk6JWFRpS4Oe0Aal/1
FCSbOGUAuqqQhJol3LUwv+QHbPOMqTkqQU45n3ZLW7jwL7AlCrO6VasMphfJloKchLYSi8apbYxT
rBITDOmeic9QL1NNvJMuqB+DNcL7ho2ZUgP02efu+h7soNhqNIPJqB6H+FYpiByReWe5Nj9o8nvA
+wVtnH2vC9WHhK8zn83yJe4h7QpotdtC1zZypD91kTZ7Kh39YSGWpzqLhL5hjVYvkBFdv9dmcmqW
jO1EOotmuBMmjRSH79WI1qMUyEwIpmcMB0/lmL6Hl04MM68Zm7sxzO9jP3iQo+Z7jAjGnjmBZ7XD
ddQ8L9fVwYOhYS4UNEiwGeTdcZZcTQTG7ifI2pkSSKDzNHSnSERlF24BTL2YeK06Rmlaao/INk6C
AHFDtTjSpnwDsV/YCqkq7OoCPlBPhURJQLzW3fBEELgjmoRdjWVgboTxEyopMIP0YSzl75BhKXrl
IFgsKjdishWSjg1a0NVMFPotpJkA+Y2dtmfQS/YEUCrl20nnE7JhtywDUgru6bnRaVy4pIR1YkBU
2SvnIpo0HiH6BFmnn1YabAyCxAjeJavX8GrAqC00TvVWR/uUaWiOF5MpKb8IedF9dY62ZNuNhk0+
DFGJ1Hsix5fetJ4AjJpwNhZeufYZh+/zeD+TvkvawKNJiLClhHvTEDcq4JEFCNLMEzxO5skx0g9Q
XPWDgl17G2XZZQq1GD6uT+wJPR8mjbpTjiBf0c+BxJuRgtPD3WutitqqpLA65VJF9lg+7eKs26FL
UtFj4MJA6lzfCQUmQPy8gTsm1KgKDQQ7TAaJBrgFCEcxG9fs5WA3QRORukaleTn6TlnCjpLECAMz
fa4GEPx6oU+yfJNGNWs22WrDbdWat36LdxkXbuPGEvtiwqtKb1hwjAjFkxtDf48pFRX2eldkPuc4
jYi3hdS43qOFVvLjWi9/4xcRH8Aba44RUGXNKlrbQU1/I2xThk/EAf5N2MmfVQAFXpb7yLuN6G7b
4mW+awY8Sg5LgHJnus2puFqgALdoKVgy+q/y47yTX+PSa9z6lJ7Gk/Segt07NFBFLde6nRFXNE7y
Ot3z26+ONKfHr3oreT0rhCOUjle7uIamLb7iRlAv4XtzVDfjqYM4ci4+IFreArrTENq8cIz0F/PQ
3Ic71Y1AihFcbF6MkvYkwB0nk9xM5YtyEBghBKwbxziLt1SFJZaniVvj0V4kGDbNIxON2hVPPPBs
1a5fJaJcDLLdbR4GNNlwCBLQPsxb87u5rz6j/jWc3SR2CalROx7Yf1VYlp+GIzw/+CoCec8Jqx4n
Ie3obG2Np+KBhTxpiPb4ZGyNrXgh17d2CPUjIcS6Kl/pGyBJYjU+5rcYTO62arxCZqUN6pllsysh
yz+0O8zT4F36gzzSTwV4ygBqOQTIUSWptS08nSHxAnkzDbvR3MCLo2ClNAeJuGdS0Pm1tQckMeIJ
nCljqSbamDAR0pWVR0oGwiHW54I36LcaCVx8vGvF2HTIPBQZJLYL0PIYEJhPHCg7I2RfvsPSC57T
dlu6gIXNM8FctEeVPerC+kUmdU3a5EShTA7F95SCH+LLi3xjRnsuThi7yPkhtkQzNyZ8cXeARIwz
30XJ1Ip2rexkvg8dQfuGgk4c2mDzJtKf8AF50bXg22J1+YnGRakP9UeBCumDp2lGD/MSKMf0Yuk3
CSrBYKfndwMJH9arcGYIs86adqO/CqXX7zgtMmHPV0zKRRbcG2f1OwUtCm5syaCd1NjJW8x4rBnN
B+OcY22Kz2Z00L9rnnCdn/wL+6fmtabUnd+1D2Pt8toE1TjzS34kw/Q7ezLS+tRPZROd9VP23hWO
qNjt8/AYEVZP3/fMzwZ5/5Lr48A9Lx7LTX0fstWCo/7KL0D5yNisxW5PXO+SDMB206keieRUXe2c
PGosVWdXRm8fe1bpwal77g1APLuS93/D+xW7EyQofpMsoQRvJEZLtB/qxIFvbFTb6lEK7SnY8zF5
6r6/LaSXonBy0zbNY6C55J/QbOBLNNhInpPaQZJbecbBvzHZgZrsazhSJCvaVeJygHJX9J/Q2gao
4YjTTrZpdxA+1NyL7gIJHT6pZ9uKhdjZukwZHk4Mpqdx3x8TSIHBhjMXQopgwwegoLwZb3ApnOLA
ZWWTfp+QTbyI1jE9+oDwDFv3AT7aYr4nnhA+L7s5m8gY/HHGC+cVxeARySgoRlBJO5kxo/sAbUti
NjvzcJePxEy6yQutORLpT8sGbPDGJxTDyQXgNQGNg5soRKTYQujIsi2YDhoebLOB7tGLZEOeu5gV
OWvYolIX8NK3WmDj4oyaE17ZkaOrSR7IkIJW/2BaTvdcsMIZt6aj7GE9vkgbeas/pluKOa/Q0Wam
j316ijbKY05dwTOOB/ga8/2QeeNtRdblbXplP/PabuJ9FDnqKWEYQyLpwqQyvuPYD3bZmfiNl/4F
Ls8bn+HKTtfMd+FNv+1nO6AMe0wzd/YsoNjueAnAotaOiLOv2Ihn/w59M9Gc7OpKhyBbGrR3zUV4
rQ7aPa2h9sW8kjnwFu6bA6oHj2XCFfihhWOZUbu/j6eNuZ0Z9PfWxvqQveyJKbS9JUJXOhIAcQ7O
9TdQFBMi7VMSOdZFAKrBcuux/Ohc7cQIqz4o5+gxOcDBkG8ChUBQj5hOeQIRu0uTY9nuS/FWv6on
4754AobOAjPK3Txwfc46bYc7Kd1gVD7Ue+mF7vN8YUt3ZoahFMIeMfoAIEvODMy1kB+r4RodUDAn
y9zSv+F7z1z1pYJlbJeYRF8kxUN1mFzMs9bSKd0YwpYGTCjsRmnDcfJDkGaE4l1FMiHxzMcOm1Sk
XX63yU+UVYaCxcKRXaX0vak+WFVYULnao3oNHwRbgfG+Ma/y1rrH10VPDoVkgPlnMe86tJ46u97D
flI6ezxGu4gVgXWuzsD6RfWMSl3iV/kFd0zZc9oFz/O37LwOczRlb7I3qitwGaS3DOkKTR9vus22
dCevQXSjSB+hAEP2Ggyn6A1KPSqDGSZzSEblwcTzCduSwb+bUOod/OGhw0EYCF92X9EDIQPqlvHH
giSVWg/JDcwfDxfss2C57AiGU/pKBUJ5kS4UQHraRJd0P2+qK35Q4gmza/DGvMRgoCjvVr/pTv2l
uIuIS/zWbgKad89EFpl4P/HX8QUMdsxUxvgYsBUMbB2w9ONYPgYmq3An0bYA+5Viw6QiMdq9xm+t
4SQXmXXpdXzxie9akgKcdq9wxsYggGq3g6Nt+29BYCNDzyWv/KgeizfSltWnMrqLb80SkN5O28Wv
y8ITP/v7SEooFv3IrUmTuIkvs0Lwsdc/S7tyo24JDKJZREFkJ27bPdvT7oQWNqy3lbzpPk3NJQKE
YROsHOl53at5L85n/z7fGZ7/2n22pV2yCnggjAEVhFLjureDs+hlj/CL/dviqjrBXXlcFJrviGqq
L2XTvZXUN76mm+xdVq4ZDD02dfiVT/1hgP3NIvyeOS+6Ws5024tbLdqjavSmNxUf4COjugL0jWel
NnZODvU9UktmEWVnPumUKcGKXigovSsb8ZMbJEIMwZ7cjZAS67j1ETaCWMb48SBTvTxodyXFknAT
ptfskxhLJLPZp4YSO7nO1gERNU6+fKMYZzzK/W2v732mxUl8w4HGVuGjn0U2J6TEBi8zrkdQAdgz
vIKAO356ERvbQWWkG2Qn6WriSme7godPHqWBRraJfcpqkmyrJ8yk6QtwB/9UK19N/a2GA3jLZ5qY
owAU7oNP1jA5OWR8KeQZ+4SYskq4MVqvrj3yLsrXuGONa6ufoK1QjmgJ2w+7I0DA5jwOH2itfje+
DW+LMAubykf1ya7RatyCEJkvEpmJnLAH9sxgHW0STEew8MxCDnK4m/k0udkx22asLt0BmusZ8u5r
jcdH3cJKkHq3PICAJfbTm0XCnjfqd3HPEpHoDfqvB/VEJkFrM7xUXnBOX/N9jOTWaT4IPiVjJnyo
DgVs9cFmprgg5j6b5kHcjp/9p3nmrBQCJ3uYT+Ep/2Y9BJf2BF5B/bD20VN9xMVJ/bx6GqfNlH9J
8+2k2XlKo9XBvoJ0M0KV8M0wtyVtCmDb2HvB72UCQQwRTdzeDGSc0ZN4mIkVoghRofSY2cWGmiEe
hoBk3nH9B0lsT32GEE1sQJpAIllSHPnX9WL9u/Xa+jBjCBjIkwS/R9FJB2uMIBWu/1wgDYaTfJsG
7W5AdH1tyDciGURxFxk4SYpAhyoCuk0UU54h832VCvHmWalLAJsz1vKmQ6jKJQhHfthZg5q3lCIX
7/c1ssID9jHemwV6QFAzcdMLzCDww61FDae6bVKS7tAnGfUjwAJwjkiXi1lRCQa91UlE9k2eS1KL
FKMsjTqnj6WqjdtXKdFp7nbNcC9lNDKzPN1UMhV20WLBjVjAoCFMBnoq1/cNLlS38CHRhQT6hAIJ
fZPiGmkdQCWgkSlbRu0NKT6NUSYnSInG8CmKaK2rqiPEhkS7v4XGqPj1ptLQeVY5U2FRFe1dxerI
VELXwqNs1yPu6XRU2a41w0HtmNfLZKaQYg6HcMGK+mDte4IWT2GjvOoqfPKZ8SHuEjz+E5VMgpjv
SmIYzJL8ciYnGGOHnsQIaU5b1o+skIfCv6aR/6YqCfoiAkT6AqiNHjP+NbO2SZPNsMiMMKPvk+DA
/vq2LclQkTHFuhNuG4TZGTuRiUVF1qpE5liPYWaEDhqETdibN40RHP1yfCFmW8ZsTzB01uq3fvye
djXyFUv6RJPGtqzHbdtPcbwVSQtbCiBxp6avqslmBayZ5cxmSULF3MJy8Me7ObiSoKW9ZN1LI+D5
HMX2NV/otKRsRrH/UGlfkChrWwnSpz7EXIbOYqSmZn1VuXGQAALYgkB4qpjzHrIJvsSoeoNskrlH
aKcAXnTXLj6ESgy/ZjKEpJrdkBnAYyIGe+dTy6u6+bEyVHPXgRp3KsGk9q0PdBiC4XlaXkyW2Z0i
mJAtcNsjeGm7ni1Pp7+vAlqE9E/qUoNXQywpT0eKtZ0TmtpJTte8lvFRPA+V8NznS9Yce2qLnnvd
F89ty2ZsfSzZjl+iuU+kksEaeEZDPS0ySIUakUSnuljZ9SQ+tKL6ko/JDtK+jiQIj7NYMetMs/XE
qBzanRnwDoxvkt88Fxp5HRkbYvwikaMU7WNeCYCVVHxLxmB91CPWKP9D1VkaR313MAoWzCXBO4YK
JVx9tVLppe6oOCYqDSwATA6RW0esvZugZMsgh7RQ4sUkGOEAlGo8E3ehRlOpmNjR4S/YFlLEZqYR
sRIaV/SPT0KMG7w3CEAxxNekHD7ikZnGzH1oR9SDsnZPyOdNLSNcXtT5tho/VjpySCKaCYoS2S2H
MARdaCxeSywhwg+53ZlRpdtWHuk3vcQEYAQP3aiGW9J8e/alcduLjiSI15Fpqmms1hGiB9JF3zW8
0VSfDGR/bbuXUyXZKk3JvCgTiUbOHtvuAPY3+r1HRFDVMrJ6ykRGSe13rqjQbwu68mJa+TUasBdW
01Imm0x7aiTkge0dQqiG8214zFTAOZFMukZiLMDjhrYFYcTxUNBOFg3USRMlWF3YlFJxVfhqOTvl
fFerLGm1GtR6n3TPoMBZj6T0YhjDs6NVPcFWx4qWx69GS76PGvvTWc0zJw7Mh34ge5aEaijGuOcA
n5GhiEq7R+anCcLkxskkX0r6gIIITlW3Iui2Bsogaw5sNRnvYxOXkZRa71XKzrUIs8cRp3ZEBIeN
AKnGgQfcUU2qc0mZoW39zxCqqoLlGz9I7DQTxGgdnqkHCIZeujrekI9tNvJbOLKQLdtXUT8EUnmm
r7ErDaKYzLb5tEYa91njimhiDCE/EcizgIeCk3NXmNo+q6p70TLPY0lwwqDTaWvFYZ/V9fcyvbEm
Uu+DjOk0JwMIgSZgtSal2GSkr+SRNQnd35pEp7TAMUUvgQUPW5zp9V2fyN3V4A1FTVjhp6JOqgjy
se2oitTCslc1h7vIJGUjiaOrSGqFlmrZTqlo+44FCqrCug/qONukHdk3HQmBTTPvCZG48eNaPBQ1
ltFYTO/Gvn3ty7jCJzezPCHVg1Al1c7y/loIwvvYd94UKpegz4EuwF4eLVKSrK6xATdFaNnJb0M4
lTah7qiwwWw9k+udn0C0A4RM4wymNKwZwy2s7LEYB+4qKavVQ39ArfUoGqPbwF5OGrC11ZCmtFaJ
2RB7edswmtm6mSw0A+UszfJTCpR7iwIOn3J6o2n5/D5r0UECx7uPRemamaxB07Z8HMaUTbTe3o8K
FVx/MK4d56kzqQzwskXcS0M6TJeyb6LXGqhsq3pDIxu53CSVgjCo3KFA2kYlhT4ltSQnkvI90VqH
3ozuBT7/U0TxPCmSF7hxITMxQaw1E5mUA/nMrUHcq714EC1oi7KSUUKOoRAltRptwpKNPfQPNpg+
yKmIBLl9DBCxm6PcEWFWb/ycgNgEUXsfYxvUB0jpgWy54TxIEMNhpE8UgGA3sTXUp3c1ITJ9GLPU
KcpkP4vSLitMlGlt55mChGehS4AoFWQ4z6M7oNhwh3Bykhm7XyNy/HV/3igh+zIJEYvjx8LtpLbZ
XivV2K3NnC17VmywAeZb4G9fQ9VTxk0BSD9giNE8E01kNcVsHZru1Mgh8IU+9GYVqqXZ3jeZSV2z
rfd+Z+5wmVODqLXrQCC5W87dHlzQOeErciLfOJYgTd0yYLKhaYWp5L7C0mdXjfYsj6XmiEn2mvji
41CH01YjP66NrGdDDCj09eNGUwbI6FaT7ftAf1FxbTj4NVzcXQlNGnRlwEE3HO6BbGwZMXIA0Uin
JmAuNWtNTu9mQTiE5XxfE17OSldFtgx6khWAOjwQ6A6qxZS+d9hRTypcMer4pR2iQN/0fnsXNPsi
NT50OcLgS2h0kE1fMaluGxxhJtnKulOoqK1H6muSwIotUkMZyT/axpFftVF9M6qKmU3nlAgb9Mrt
2OhuspGypHLkHkhsLkuPvtgFx75jo6Cijij8rnfSOLpPsrjb0KAB0WOiCqpoZSc9Eoh5E6UAkkY6
GtNAXSNojRN+cxQYUnkyxHGx8l99aPdOOxGmEeX9pVc2ggmSWw47ZTvXuXrTZIN6s1777eaYFkA4
CYwKquSDyGXTk5RKuxnM8NeL9T6znizMecFbsGAa14uq5xfAgCV5ZJh3G1+SX8UltbbR829aITYb
K7FkWIEC2b+LnlsLeyp8IaDcAL73ap1zx17wEFVR00zZuS0C8D4Iir1K1UlbMKpJlf5x0U3lVcgg
W88LWbWJpxpPn0ZmqBwq+o+LPEd/0r6SqGjcEBvwx0WEvECdtQorK/rxdI0UlXH0alXXQtoU77LB
pCqmaPmt6A/ytu+05JhWBJWs3e7/+bcW+w8qxLeinOoILNVvN//3Q5Hx338uj/nrb1aOxM9bp+hb
XTTFV/tv/2r7WZzfs8/m9z/62zPz6n+8O/e9ff/bDW+V9127z3q6+2xg6v1Js1j+8r/6j//x+V8R
CRJIIf9bkeDzVGRRHvwqD/zjMX/mXywID7QPpqqJPNfK6fiT7iFJ/BMAD0WxTFUxUE/8VAiKkqKS
EWrpInxaGVnZn3AP8R8WwkHghCapSORkyP8dheBvygnRFFE+q4gUJVnldZaoj18lDExmTVJb1XBW
qhe0SiQo2JWwoc6sqbcIkP69ZEJZ5B6/iOX+6dV+k4NUgcLCf+DV/NP0BSNefypGl6Wrf2UE5Ceh
PcMaCE7Ktnigpq2+lF70GWyjPYhSaoygQhx060+UZ5ESivaSubm4NOlCeMXh379ViWCS398skk2O
m6woKgY2TfxNVDJJjZRqqSqdjIaCbLlkPufLhTUsBFR18Qv1QWj8H/bOY7txLOvS79Jz1II3g56Q
IOgpUVJICk2wFA7eezz9/+EqMxkRWZXV3eNetQoJgBSDBubec/b+9poscNod+ZPVzONeyiYMuN1i
ZRG+FbGG9gPP8VijAlINhfIj9G21i5KjWCxJbJ6vy2/CdSAtLgRNmYd1FpMSKvblPlUZbrOIs2NU
wwnJ6Gu/qiAi2RmwkL+MRHYTYofN556WgcJ0RNgzoptzSGwL98aHkUju73O7Gj58H6aBTLtQ6Dpr
i6XmthCOm8mKTWgDxeUWXpXVvrItjWB321Uri+VrthTSFhGXuyIZTgRRddZiwuq6kkHUyDhbhK8Z
1qDu8grdyWI3+fAqmcKxJHYIL9Os98Q/LYjjwa79rdb33m+eJeFeuoWvNfWpaBV1L3wjmcZciBkn
dmaxEAYTBQk3nFg6h8LGJNwklrCQ3LYLPXU26ei/VGm1ayuc5MIlJuLZZkM+yxEGL7GrnSWsJCSa
mgAvos+2jEcUo/wPu6cKyYwUaOdfi9umUsWvBia6FTDXYiU+rvDcQBtFcCs+uXDO2HVwspos2t4+
pVjze43UL7Eq20npZXP8ePuEqnDOiG1LmI9lrftWhlKzEX4Zeyw5SG8fVqwpgHZ2nA60KjHNSPKf
3q2oIjGu1+c9QpDAcyzjWTxG+SRAQYjOUUULYEoo5si5qw6gTGgQOCqZgnaHSlVsEoEL8XyrLpFk
iKYJC1vWxNGBM0PdDYgWxX6xi18cC7rDMR8IS3+1cMsJH17w6iH6QRvLyRpllHVonWoZJoElkERi
nLaExw2DFTHEyLH5RPCxUAOQZxkpNSxMnbp7kc87YQsTh22/vOePtbm7ZgbpOT8dr6VwGIs31YBF
JISzPot3U4i39NdCGLluaYd4GRbn72xgiSfTz7e5VGQLqlVsisW4PHDb/O0pqU41r24m/LNL9KS8
QHKDLGmxLOW1tTWdYqs4OPDEo/Oy9ttm7kM9dpwmcnVKBG6TUlImPlNFwLi8ID5rqEVp93p7ebG2
gK13Xdp/PKsOGR4OIwms9YLFHxaXpUDlizWxbxJGzLxekjx61M5i56x0wcqoHPCv4uGfntnK36Ve
yvYMr6mnLLZzsTbqcVm/itUJc8S8EatiUdnGe8gtY9MIg+TtAfHX1W3n7dXEc2BmKKTs2pTelm8e
Qtcf37epD1QUJfWhW2ygVAOBAHOOlIfAWC5RymIZxW4CWnXxmIJfqz4+ufjQaOOSrYPv9ONR3Vzc
rqEwun48vthVI3yrxWJgNXGy+tRjABphpRXPFc8S28wB/nhlsSkeEPs+Xu6nv8kXY+1E74uSh4V0
Dj2SyDX9dy9z26cKF6+Kn9dqMPYSuEguNX5DezH9wqh4F1vxsktejldwkiZFIzaHxcss1m6L3/cJ
27K5WJElvo1MuJPFc3Icy5Nw7y4v9fvriT+7vSrzeoA7t+3fn/5vXiLo9BBfx1ab1B7+o/oDYCV9
ruWGq2Gkt8YyBasiv+p+ZGyES14sBAahQl5upRJTuW1PIdJgXL9K5kLCTRmhLJHbCeW8TviuWNiM
rrH91kx38dTeFjfwx21fDmmhWZAL0wLTlxfkR97EI4UmnJb50Gbyph3QHOHqYpK9HPxiIRj0t82f
9i13vRrHE9erJd4utnyZdgxfVj40ittNlbpujIU2XGWeCgTdTrvCS+r2ja+j30uKfIphNG8jEw55
Du1Iznqu6f2jfqcnSfLxr/9EfKioo6H7yhD8j06xiaDBreqaOrdRWTsKoy3pU5S7BOCiJ7mYIdvi
ABZ0EbGo25C4IRMltD0V3jhMVK36r+ILMjQpL3ZFXs77Rr0IyoH4lgSrJ7Gau9hBQRQ0EDqywfjR
Lea8jvbANNpQcsLAGyj/EUQ07ZzcxasY4Er/FMaLh1t4hJdKvWN1Gdpq/CdR0S+USvYth4Om6umu
HolRXDXS7OwH9TQo3EKaympoFyZXgHfPLWNd3HfJIRqoRmHx7oGJbo0g3NMwUg+KpCkfCySQd45h
Jru+nXZApOxLibkgVOenKvN7j7zDQz+UD5HCAKdQrJrESMB0fm5dY70u12o7Kq6gxovFcrH9SFG4
7ZMjqMfJQsYQgQJi8XEEiNXITBgEJ8RfRVTMmW1IF4uItrXczLVbh/pp8GGxWypoqnYGLGcPNNRG
+mLGQNtyVJcmR2fdmTP491I2em6omfKjGWXCJBdDtFgItsaNupBjZAYgam/zQv9Wjsp9nmo9GloJ
g+uyVsXZSL52WLthwUmY8QnIB5hxb/+07chc7Kh3L7sTB1O3eGwx8PeEy21vu8QzPl4j63pUHMx4
YYstUc/NchOqlgUULkA6YhVYFw2eCBMB4kxGRPLg0KIWTy0X5Lt4klgbl9uXWLs9IJ738Se4FL+l
C79E7KMY4mztWodBl3c0kljIc06DXWxzsCsrZc4zlzEbsPXlYUvSebikZzkpxl7sEg+GwdBh6OZp
hURjtq94e3SB0PvYMsIB397nnXEPH0z3OFK4pavhPq39gczLIJHJAlj2tfX3wA6w+JeMzMUuI1Mk
Cuy4NNrlGbcHbpvDXckIl5Jauumx8wxU4tylODitrK1iA9nfBrHXakfF2Rj2ZnjJvxNacR4gEXJ3
3Dau+ZRemHY8SBvfoSHo9piLERGMWzwprAB9qszD0hCrKcad6uiyzJJiNw4OU//cQepFLkBuSYod
XN2EybMe38EgzxBPSMcivsPL1KqcM1uSBG3Yb5LP+X3K40s1nroRTiCgejfzMYzsUSKZxhW3xOC4
QbRP8ENOwBaxzPO5PPOQn2yUOdyx1+3XmbCDTfZjMTe3W4Q+lvSGlgq8/fDYWqgJYxTfqLNXWfKi
0iqjgYU1g3Js9YUyJVbaXn3qwk1IbRPhGi7mlaauWwmd+krXtshyzWxPXzuIvMXxpt+hooo/1fF9
I39Jz7JXrk4YZN/tVXxBl8gpuo7WoOkOMJTephPK1x+w4N8bSLgbrLz3BlcieldvzhYm4l79plzz
zbBPXmW3fEZE7IKjnFfhnbajM7eCDXlvbSgHmvdMOlHI7TFGndF3fIHDF7YXBXM3jGl9BQLRx92D
5vGk0bsH484Iu3VpXPnul2al3cHH9uYnk/bEJrlKl+D79C18Ln8Up+pEW45M+k32mlOcZJr9qc3R
66lPzavufm9383HfvSGYmpHMUrBb84YZkx6K+4M27iz68CtyZImhR10YL7C5lbbNs41ZvbbxLgof
hmCDJKOuPbPaEa+IMAiybkZf0kGm+oioG1Wq/E1HQhuup89BQe9lY2oYxojDWDn1eiD3iGltvF5k
1RQHkNrhHWvwMG1KhDty/VYfMQ85fKx8b67zR3M8IPeg9renRyr5L/j0SCzCgMYVcubg+NR5s4+w
zrmqbn4mBv0NOl/zTT3RDKHPkjg70Ijl6E6PKWESjteOu9bZDD7lOERQD4tP8l0rj/LsfQaqGavX
PNmVxQUH3ddSwp2/2YTcSZf/Y8iavljfLHrNVE6NY2KhaDz6DIWHtXanOKvkuZrWR4OK9ko6Kl7p
Fi8GGjkuZnSLOJJO/gPsRuszIuppsXE5rSsh9UPIddSR3L9NT055UvWdfIKcck3flO+L5Rgp8hcn
X8Psf5c5KquTAp9z229zhO7gQ/cpYxRok+OaplykMFNeqS/5tu1dtHfWs/mlv2b39mu1H89LGuoA
uezE6S/1exvg8SPJBTSUum/Buv7ucPrgiqN6j1JP8dLC0/Ut75CXJzegHdfKWTtoV+ggIyK8bIfo
K/oun4d36Wt6j6BmzSTtSX0NviVPdLuARRM8ZSLv8y/JS/VSHOXrojrC4NYdkeyCqd/BfJpf071+
eZ4ejEdph+Pze46cJlhraGpd+QdiO/OAlG+DPIULTf2p3fZXdYdFZg8DsH5WQ7d/B80Fv9ZFrr2R
XuVibXm+2646F0D+sOJaqKyZFcTTqk/dSnHbhUa256CXrv1btq+xXjl8RDohK3IOXK6pL4AQ0dKS
u+Xy0YsN7CjK2cx+hxUkQs/e5VfnMxzC53EDC2WXvGVbNLnlOsKdRZY0Tao1F003OKC/HVywJ/6q
OHG6xR5Fuh3kU+OF4/AEYlRBGAtzZCDoBqXtdr7E4dqmDbEdr1/9XXBi5rnLdzMnKlwW+x4r+R5f
KCBGLGJYQ1HIoB4hrfqR73TfHuF0Jq6KiJYjlQhoPkNPZqULG6S8d14r+Awjatd1pXlojDSOfBIp
LtbON9aU+pstHgOiQzcodLfx5+FcYNjkZiCtA17R8YwXBZUrx1621k62G+yrk+9BZHrGK2tvaTzs
xmR9Z5HceqxKj77XotPXuasj6PMInO3izffpLjk57/p98gmz5zb8QlPCuIxpNqxvtz87ryj4iFuk
xmUj69N2R/HoIOtWvQ01/6LYMCrbZYbjL4hLfZkbdQPdwAic8IZ+1qsZ24ytd/oibNDKskPXCMNH
UJjEmgAmibXB0EhO+1h1ZDRfcdofE70hoXWZuXwwm/7zX2sJQpaqUZmUtAa23g6tYFs0R9v6QVvD
SrFCOB1plH8u6JZ28HbI+BJr4oGmKd/QgpjUkdDTOUOtA/ucMYwmKl35XWsPxHvMM+3lj1V8S1hK
jLJyLVPHZNmEDDiHCk0ZTMSRDEmL4CQIpDHXXWoQUC7Z9i0esrTUnZJk2tEiYjgt0ntuOT6tyMy8
bdfFMvsI5aPZ66lbpsSBi7AWeeHbCKqWWLvtU5x+2GZ1d+/LvUufs1mb2FWQCy8MmIpwdxeGrrT1
g7vAlOWDbaWMQcxc2cchXDwBwhGLNjEu1SQpngDh3BYCUHPbVIeQb6mX70SVbVxmbWKtLpeww9tO
3WyQF0d1+IFXMnFJyKiAdqIc3CoUccTaBz0KuOcuw+KtmMpjKmsQoBxKU+XYJxAzuU34sIyPNZht
T9e4HnfPACyG/RABwgRoSbQ8B6QoL8m0PNdTYi4nY9ThT6na+UBMWQyDt+aqTkJQGqqMPDsEn6MB
M1NsypCLMR4YV6f3n6ygkVG2jDSxkZ49lbVdefQAxgN9AGA3yqhtNdJ+AgKJ4G3oxgspKqC20rGY
kdxSr9MTjICWb5cuebJ/kIkEk0gsbvv6Xp72qn/KF4Ca0tfQ5/SumNxJr57kprlYzHoWpvGuXwpx
okS3dEHWRt9z1VsoTXqzlFo+ise3YjK+nTfDgDdKgxidSTFqh3xqj8x9yT02qy/ECzicIxDYvaLR
XvrGVpi5sZBREMJX6TZNjYpIlFXFDywWt027LSI+JBPDhakocFmKhZBMmiwyvJUKkXq5IDCnaQmj
FKivj8VSTTbKmp2g99zMCRmSLAGA0qxQoRMVVgGP+ti25THb/P9m3P9RM86wdTy2f7l0l3bfH228
pZ/4v//Xyzusjjxoi/yXftzHn/3Zj1PMfzmKBhTB+ODt0977sx+n6v+yNFNTFzvxrRfnED+vAnpQ
cBYrLOmh/dmLM/5FZ0hBz6Oolk5PRfm/6cWRY/9zewxkv2PaiqPAEVFAiSj60qz7ycY8FyBPpaYz
r4lsEIRWJ9O+aYN9G8jDOugycICasdZthOOtoyRbk2yKXJaLD1JjU3KCO7UDfKiTz1Ka/Pjpm/x3
fudf3c7i3TmO4liy7OgmX9BvpAuUrHpqha1OzaRYVXOhn1MHlQR5TMY+SpUrXtUHgwgd6k1IMaYC
FZ1lKthngkZfWxnUkSRAluMz9AhtIz7Bd3ZWyNWQEykD7lM/8jJoSsXi1dUK/8t/efu/djr/ePt0
TOGgmAQj/G5Fr+nJDHWh6Ii+x/JzPRfMNGfQD4lVlutyxqUaKKFzH8or+O6fp0Bu72kjHcEwQ9oA
n35SFzV6a8NLL9K1LdHIslvlk1PW+6iQbBccV4bmtqr3fd88qJaK6yRQVoWfxeSeydYpk9Lrf/lM
y1d+66cun8nCPqvItmM7HIO/fyZVi4LciVPtSmM339aNbK25/gaejB6+U5HNWCFpfwkkT69MbHvn
F5V0IKFkOo06JQawRZ/scaqOVqZ5YL0U2AmYfqNurcaJ/mCmzJwpx9NBCdqPS9gvcoKfwSnLSfP3
t865o3NGcVZpvx1NeZn7XVA66lUp7bUMjfhhUrZDVkFBAJTIfb8Pj/mMLzuakjOFoPGtBBViD55h
SKSJRlQtuIlEkA3m0dM6UO9DMkTbIYQsy0c4SrF6lnqUxBM5giu1zsM7W9JoFQ/yMdQRxlsW3Y04
ShwGglbqcWzgyNRDePf08jgk8eO1mepsKpRyaDrD0ENlSbl7KIudpRFSgAKX+IpgN/tzeC19H6E0
RolOcohfnYJLFJrOWSwQl1q9yTDfhFyBf+A8jTDnjEhqkdfA4/LxbaI3nt4W1PvKHqKXXipADhJ9
seFSAZpWBlRrxwppVnLb34m1Ienvk5iEHVmTmgdNVYuLXPn7QqFuVRGcOixCfjNhlq/DohgTZSMp
eosTumYy18jEKUjltwl8wT6Lmlc1D4bVPNr4fZRyZ2RNvft/OFRNJA6GSYtb1vTfuun2YHPnt0L1
Cqrr1FsdU3+iibY+o3Vu+RSwLfUyaDpRBVPzKYwMbZPA9GHCwZRjVn3lHBbltkNDrCT1fEo75TpI
bpDUI2rLaXbn2jk7Ru68/Je3/Stc6OMMgyxElhXCM5X//npJNiXZikejVq6zIa25cIcPQWLeaVaC
LNWEA1DleIwqn/wD27LzM1l4h0hKHhvnXabmeTTl6IdNMXo3oP/YN5mzknRM9lpFsskUdtH2n98u
2o+/nVUoTTTbQs7AZeH3a3TvOHmCDhsJom9X9/LUrO0peYuG9BR2SDFtpkdunGMCyfUTBczkpATx
p4gQr/0/v5ElfOb301uj54gWXObdGOL0/+lWRter5dbEr9Tl/WOVKPqpfknJxzsVkbYKZal7zvrP
9GL1x2hOzoE6OjThVPVOfJW0B7yIhtelzlty96ZuDRJQjtV9WeUlfVEFg2csnfhxBvLA810/ZtZe
jfqHHjX5Ja9w+vmK4wGhQ99pVSD7JdJdpDh9jRMMZf/8UdV/c4hoGvEGGrk4hva3K5mqS4VTyT7g
ujH6qneEqg62TKZsrVn4gYyHqUl+mIV9laQKta8/pm+xqUEfIAFDBQjvlagkt5M946Gz1KNKr4ja
lEQ+q5NLbiXRwf7nN2z+/UZuWQwuuGfwP8tQl9/up99GKWM5krRevdZNa5NxHvVbLtIwb7uv5dRa
dwBP8PKkEUJ5KzE2nSUXx6yO9X1DFm+XgJBgQkGLePxq2L19UphsuoZdvOkyc3xuwAOXUC3BERjf
DTMSftXstb2tv5iki+3kUKMFUEDYIzkk3HWNdggdlNELho1IDyo3vWJlJyid2UkmDMUJCOBSx4dE
Vu1TiyliQyasspNGC/9x7+UzlezKJrBF6m30xjP5Nbl6nzeB8UOKsbRHpXKVOuugxV2Aj0t5VJxA
+5SNxH0raqEfDIqxmsAdmhpp9iEcieVDqbXWe//8vet/H95ZFlp1vgaQbw4XlF+/9zgNUKBOjnJ1
nDKFqjb3D1M4F8fZquudCartQWISvI4YX5ymCQNgOEx7s0C6SMu83mUySNCuQQxpK1s9ly5dpzGL
IoIB+XTQ72PmRYFdTMcy+NRB+fI12/HKqisJncEj67eMDfNJfwxyCpl9HN8lUm4+2dg/0lw9zlqn
nu0CeWg1+cNZTXRvHihm2kX62FeztnZaVFhhl3sj90Esm+QZZkbi7NUCi80/f1PKojr7bVxjaWRi
6TJQtb9LryRwNj3wFuU6lvmLXgWo37vwNUk5EJsKmBJk8WnlD3UFwCvLjsbUojCmEJboY3mcfFTt
Wjmdcw3+wT+/MwHM+/mdmej1ILc7GolYMmCL337DDP5kLCdTcx1KrTjGQ9Lcw6WDhJB88vHDnGpL
Oo04TlZSSWSRYqb5FruSsbLNUlqLw7fUkn5nTDXiYVXSzrVNETnqevk0+c55VgsqZoTFbHVqWp7e
JjQamjkBMxlOhG2T+K7LD4P2MpjcF6UBT9kMDGOXWO27lKcQqiDOSXO0zVKjImUPXNSYltupmpH1
VsxY9UYG4rIc/BqufZlA+XUWle7oh90iZg49xcIxmOsJhvDAWUJSILQOpEpqijJdkgRIx9SRH416
hEszY4+Csbr6nGQUNZD8wp8py8wDpVuvQ0eHOhUg8TYKfNNaVAQuxKD0v11/Hf1XpR52KH4HTiiI
ibqqW9AOfz2xiI5ycEhMwVVKhuKSSXPv6VJqrY0ceV4hnQyj+hb5I4LZebL3bRwdHGI6n1Bu1fvB
SNJ1aH2xxzq5GFOnQy2w5tlFV82wUZH3llXb4Xpop9YzAnRKsfklbYhetwDcgjcdSJxsIq9rk+Re
Vj63baU8QEb51PamfO6K+9hJ7uRewvWetlgR4vpr1JlbzFHyuLINg55Ir5qPmA8PCeIA6rjw1XJ9
M/bR6Nmc0lRaI9CpEx+pp7JMvnqw7lCgQCyQ42MXwxkY0wcLd5E7h4ySetPZmXZACYd+bkm6Ks6F
JZ6nLuF8jTqyAai4J5Irx9PHmtpdx0w/WP6o0dby/ZMSNZAoxuTOQHWTFUAUNAnRkZUSzYSQheqh
nG9KeyTvKFEfnHnwr9PCdz3lJiy1topflMGqdzHKh7FGTDDDmcEGRrpWBn52G+Zw/CorwudIUOeC
ldpacUPkoSHjDm/ixm0xCOAb0ok0M8bYlYmhWY0Mei9V+jrVirLv8paeD6rMjTmqh76SppNTKtkG
y1TjMB6gfTpeKVwRLxV38QWYFSQJ3zE32ph9xQA6weYN+ZyGfhn17iRRZLpL11kX1HdahBpeBszk
9hpF4dEyMYPLCExHxV5nRv89VhHiyENzobQsb00i49yanBJzlrqrPnD08POmW4JJvimx5G8xCkjn
GeOtQV3zEmNpu+/b+K3R5vfczkMvTlLzOgFe4Z6h0LAH31j7r3UczvfEHns64mO3VjggYl3ypLIp
dlVipp5RNN8gSqn70aJRWve2/FS3xb5o5PnIzxaB/SgODIyVnWZoWImb5BJJI7oqgNFQQrCQpJN5
X3Kq7MbSac/oIevC3zp5eLILDOEKYjenbuIztXO0qqSWeaFPLQ+Wc3NJa8edcSHsbcXOjqozAR3B
lp363G+dyplWczNk4IObcxdB7ZB1e7xaVNfJxpLWfc7HMqN2urNTlaR2Oyy9iKxNrzAKWk5DBvhy
WvB4PrMwkOeWrCSXIf1RpJxgJOY5O0WGw8F79hlyFUEznifND2AI6qYLu7+oMWDDq3SSGiaOZh4x
GnVbTJD0wpO6vgvnoLnT03kxLKt8raGcHusUs3ph6KUb6iaHmjw+6/zVSZJxSJezZL+McNt94I0l
3jhUDLp8n7atfD/N03Af78El08xq+ZKaGBhUl+HKypwyXydhFBBg6x/aQjdOWWi+d34SbQgO3EXt
aN4pKaiCtKAH7BvSYu+YIQ1acJHU2vmKlXWd9trb6NuwHOLGHyAEo4iwOPI345jQV54DrrVh+91q
4xHIGAurlEnBsykKMbeDd4LGZduPYEiyILif26HdSyqOfZtqZTXrT0XenOvaD86RqSm4Mep+p4T1
c1Yl6qMZqMdQmuZLJNOjN/AmaRAfJA7bL9E8f5t8ydoW82Iab53+BCcb5TFXSgWl5RHCV1gyF0rm
MFlnurLSndm6F2MZzEV3zShFF9+qL8RGhrugzPxtkNAapZTB+K6vMFk0sYmPsUeNtpCRTN+674rx
rVpMEDhWHvVE3/iG2Wx6bX41wqnyMtKRV0oH0KXqLXLB9DvUmxAvKuWO61TodmW8a1QI6Bb+Fs8C
16OZEBpb0+TP+hFaWC99D1tFg9blg2TDHtI4nf5JUdRPUjiPm9GmGzhF6FXwe6Mv+mlVuIWn7ajS
3LjJSm8qU1UUuMUjduzccVWeacLRiDJye5Y3IozgY1sOCR+LGnt9awZUi8w0HKWzajUWFH6+VqEq
vy1q5yBHpbH/EDGPXGU3lg0ZTUY2qmuMi0zLb13yKifCJFhYwTwRSgFo1VT7XaVEaGmIu8Lm229V
lZZ0IE0bhOzvH7vD6BSaarItW3Qu9bLINPQsXZTh/NXpXKV4Eg9E1bh4zOtdNI7Tz+h9Ef4gNMNt
Gn4laYb2f0pP1XeaaaMC7PaAfX8KEHXVZldv7T5hOJUTLSm6EOkElVMLQ0i1vRIdrZyTZa57mtHz
9KiGXKgzFduZNBzybjT2N3W7kLj/tjkPMQAcCdGw5TTxZtBRyPRN/qxKA0D1RYQuFvPSBrht1pNE
g51O+01kLoTXYlOsBcOixhbbWB69WsEdrVl4gkblkTjuYI+5OlhbKVAWUHWTq4bTqg6x03VmMm/p
Qz5hDQvheZG73SfTvRzhxZPs9lhXEBotWvklSZZDjBpFNsDckopGG9ocVm2F6VYPKt8ddRONYTXI
boo1yx7i4gL2pCXE2wsIydpIavo+OM0W/LmBucMcV1gRTdcfSs/C9EagMU3W0IA1Ny1srRS9wlAB
hrWoVxyGWv4hOdK7Ax8vkixOz5AZLnrkfR0PwLmCHSGwOBgRGVkMcU52MqExKQDZVdz78VBUUGHe
cynyBjpbLtq0jGEECAnSoU6o0sRcPV0rqfSIDQEwid9SzgxKshdpyawnUGCUhna5CHMUUUXRoh0W
kl9uX3snoAcodgntr3ieWBP7bs+lVwxC7T8+fHsFY5E+tz0Upd//zUx4LG7/TFnJ0Rbc6PGn107E
c9Sqx/GdW4dyIrSbOuafaudyGRUBJfheN6U6b8QDBZcn8Cno2PxhZq4nXkE8cvs78VbEZhKUKmP+
wFUCNOJGjQYuzUcvjjlDMAIDLcLBvLKL9lsc+1tpXNIUiD6B0OCj9DX9qDuIxayqNa11WVsbccsF
H7aHOvXtOlfsaj06RNjZBv6/2ECqIpsJ6CmnZ8ahw6ok5fUrETXmPpLx2+UIcAlkMUDn5IYje1Ib
Pg62zZksHhaLjnkQfVtYJmpV6msn11CNi0e4CxoHMAgEM8TzVjxP7BILsZkZub6TDJTsy4uI/UZK
FoFYK1N5AZrGjnv7A0byxIgyWwaiMdk7A9NhbEvtHhH9fDBqbp4IWBt1nc7S2s5Q6sevweA/GhlS
OKFO9QMD/7ZYzSGKzOtGdIbFDrEYTLmk478IfIuSQVhXaY7rL+1tsRBBWLdNId+EIc7hd9uJ3u6P
Z9/2ib8Tz/7tZcagSTdOYxNJOMjI7joLuu5aKIgTHYjrMmZ/Ctohwou69GBvmV1iLa9+DfKaDCP7
UJ+Kh3/bFPtuAlWxGUyhPa3F6n/8E4YD9IwVCJhhR63j49nEzeMgF38zi9St2z/WREm7NbjlGDri
6FD1dx8BY//xHxBBgbf38O+eJ3LLbv/ETx9cPPLbnwxOJW1m7ewQqVpTPm2h5mQjSWAd7P5yLV6n
9OemfRQqXT9LCAgT30yZ9Hm2m2XyIjLLIK0Va+ntFxWbjkjvyYSE+2Nd7L49VayJHxrdcjBTZFni
fvpeQZOeW9m81eJo18sq4/5hhpPXdIVbMREXSvF6GsC/iiMAPGzcvI7LJcYRlw6zZnakVIisRggL
Rp6jmVzMo/liHhWLurFV5OR/bftGIK2lBhl3qZiQe2aDGQaBQuJFwyWIylCVgLqEf0wlSNqGVHsR
pt+1+FbF71Iz8PXUqngqmdXtRYyfuvzAc/spRUIuvsDfvn6x76efqBSH6ce3flv1kxIBZkTmiN0F
Xy0poou1BJtMBaSAubNLcGVWfu1G/zj6MPDS2RgfCoTuKFKZccGet6XG9iLkLFvTBzQ8Lj1MPQE6
aVnIPUvSR7e9A1GjYCi5itW5PtOCOI+VWr0Y97CJES3lV18xgj2Z4PtADqD3w0oFJad8mZVGv1SF
/GQMPYTI9tIlMlF/mX6F3KzuKLR8AYrfGLAnoLRudC7B3PPoEjVVDSuzMs9RFz7NtWQxRNCfYjL7
tmZlfym4WK26FPZUBIBlIy2AjTFy3qo6Vy5FN2CC0jV/L0/SMfVLSmOm/OaEtun1ajwj/VE+G0kw
b6YhWnVqBk0qaMu7ZK68uoOnQgDmCOSSCb2kT+/EBL/lUl8cIzA0FHGZPNFhUhkbOKZXNwkz/MRS
V6NWjHu0I19nGsCExEpERARNcI9sLbTwnev1NQ6mZ8MsrP2UW99yODOe3HQOMjEILOCKHqo8iB7w
SgIE7eNPPeCPDc3h1AXHG7jaVJAtgw3gXe0pmOGDDLYNkl+Iu9ldUFCtikLgoVVUnJ1YfjEm3eAW
6yOzJdrF5Wu/wIuGTFXnXzGB5OeePCNujTC5q+6eC1J11GcTgXWUXuLY7PepmVzB22ZPXR9oDIv0
L6M6yc91upM1ozgWxJ57uOMK11anbWcSRdDirtz7drAZyF8GPVE5hwZywZrf4+tsaZfeKY0jSW8E
P4yJR3foR1ZQp0xkWHJys0jWqiBdHTL6QKess/NnO2Eupj2NTW2/p0GES17t1B02h3RrARNux+6U
AJ9YgbSo7tWGwAGjUbZpozinqoCs10ojEVf+vMGnd9dPXbWzlHF6iMJ6Z8CdlbD0XnEeUELRJnqU
mY3Dtl0gCGnMRA8ZnGTDCtZx8+UxTcw4x06Odqtrr20XJ27X6/Yp7cvnoLeUvV5E+6r3U6+bqCHK
BsFYtU8Iu91PxnEcpLcO8KF+ncYE4mWIaVfOSPqKlC9LBscaa6fB3TWYsLSjs/XNythrJni8+x5F
IiCigxqVF4ciNil6dvMtI+HpEjvKM/0bRrDM0D1FGTac3cUF6ZQnT+Tealmd44yyHsNSU0/Z+0zL
+bkF6FhOD1OU+1cl0t+0Sh/vg9FHqjxNZ1p42cWwYi5ijtzv62JE3Fg0z/VYG49qlZyhXcWnRh6/
5jU1qqALzfMkZQNCQfpIwMjdmeb6k01CwSDH4ybPkhpEZ/E8aHa5Z366RxQhk/Uznnp9on9BoHxJ
38Qs8vqI3dfZqGrMu+MLRqoI8jqd5k8xIrmnZFzFvjreJ5oXmEFztSHn1YV5kCIjpVRMVxTnFkOk
VF3H8zQS262TATKhrmWwCUEMM9bJJo9wW6T0D6p8CogcRQhtQDNSGRTUSQtpGunJsZ2dl7FX05Pe
zOC01G525ZkaIWFiqav5unZk4DWu80yNgfcSqFWCef8f9s4sOVKl3bJTqQnwG33zGh3Rh5qQUsoX
LJUNjdM44ODA6O+KPKes7jWrmkG9yFJ5lDpSBODu+9t7bQtbmlcVH7PmJ+e0b6y8Tn1Q5QUjcyyT
ixHUv2dVf2Aj3PElUPXshKvbHOSpnYbhBevBq93Z6Al8uqG202HaYuDyDL6icrGutQyvQ0ZN9hwY
n4+6z6uSGF1nUBXS8fOjKJfqzNj1p202d/rB7iqdQ0BLwb7xlktRyY/G6K6+100QtZi1RtOnqYQF
BE/M2yLqks1j/Gg5v83ioGkv/GF92EkNiTwzwOwdZDBY93z+ngeOc2hG9zuRLR/W1fiCP/OPBxZ7
P8HWF16DmlthHuYseyebgv8roGmhml/ALJmkLaBtAIwChDqiMDp4omvH7+OAU2vpF8abhU+Qlgyb
vMk9g6k2MQ44ey35MCYPAfkIGJJzCLplTs1Dk3W70Zu/LS5kZZn26uqNdYHDvo22UfBqklU7p7VC
6IdXPxUjbtqEE+BsBGlcoEdh44flm+tzbZbGxRvw2A/y1abOfJc58pYNutqEuTWAb/xq9Nw9h8h1
g61f2cpBjWV6MJV6/nB6cXGc8tw7RfYapX4WW2Swjm3fSXh4OnsznGR8DsBH5kuE/Wfxh+dx/pnb
bvdF+Xi7wSdJxbngokWNrJnGYq8Ngmled2Oq0YCEfJ4Va1pYUkRAk23EiAE1YVieR+Vig338TeKk
3cmZ6t+iiMq9D46d8nQ/NicSIK5n7JeePZS95NmmT7hhiOHFueT/QwhWXtICIDPhR+4LCCZIw6J4
m5W/6tKGtEFYFTeVDBQ3LBUTjwjul57q21R5JZX2Zbflmlj3PpCynoUh8GW/kWr+5XvqOjcW5ME5
/0EkLjik9eOxXaFFzzWMp45NJVuvLtqVihaOYcb0MBCkYA/1FPgqPjpm4x0m2EVbc2yJP5iuQdjA
X4Wu+6eeod9LrzgK0wdflZT5S1+mwGDzNDabYnkCiv7DATF26ccashpz6qN6NgKGgH7r7goe9DFj
F47yLmDuuU7RuyvWMFRR2z+Mja/fkFa4fA21AH9y1o2TukdwOo+9kv6BOG9SsMMRHkpABHQmwjy0
ECyexHTt9HMqP/lfLgfNq7CbreUj8zuaisxMUqA39kzunXmduEimCa/MWtbESRrB9sIAcQo+ACKO
EN+oV0iY6FHRnmm7py9iRpozme3KBJ602QOlZqf64brl2wgKpraRWKOkpU0l1z77gekuvNrGXAbH
SxN4mzrUT9KPtMYYToCvvtxrZwY8mRuIK1i5Tf8HwzsaEYIh5oV0qkp/OjVdDL6X/k47JnMNc6bn
aYKC3KrsHERPUzr6G7suX5uUS5l8+rjprUdBDUglWF7LzVqc4kijIIOioAcp6/VbP4XMzKkZBXmB
puYPFzpIvXXrzVjywUKHibt3iuhX3k5lbI7crgoD0bYI+qshVLeZZmdb9G7wzXT/sKsr97T4BZva
q7lcBvmbYc6LN9jmL8fIEZIj/xurF/mfOdhYAEWeZRm8ZUu1/MhSn4xGsQByc1r2jKOgOUj43Ura
rRFHARRsw9PRoacGVTrmu9nWXwFR1ijv9ZFyuoVMz0Ilk50M5yXNIiBJ1c3yA/b1uEfg2g05XQKc
NDr20meO4kMkgmejf+y8knI/JIOIhUXhT0vXLiiFPKavkimbJZtdWeL21xPB45RsZT/BosoqjQGi
gHubiML/jNLye5hVcMBLvyW8OW60ntITWV3wPUKbeyXaaK1T5ymsq/DJq3WcBCgYpc5PjAT3SNno
Ku7y2UZVc4LTCuFRtxtrQIZrHFiQeNuSYzs4LwWemXXp+WrfGo/+H1+UB4ZV/OuJgV3JZj8rnYnM
hH3GlIBe7E4m4S8ZQIJXpqJEKDAxIkXhk5yi+YgZ/BMgFkWcFgsKyPy6nsYzWwXFTyCdvQwo4vCs
G2xTSdYvLuiyP7UiesIFerMtxBaLRjWxBIBeiSLllRc8tUXzKS1xygcJrNSySc0tFJQUTN/iXvPj
sK0q8ESo8ZDRBVrMBHXw5BPtNcI/bHick9HBs+oicA6TpQ8+a9vN9qND12p2FWNIg0k4/fB7BjCu
MeRvniluldsfpylh2+T3EJ26VmzFoxmscTxuehJbqvSvdeZUq1B89+Qc/K775IfbfFJiM734hXkr
B+ezwVp6CyL5jWpbOEe2S+RU9mD2ag1gq/C8vWENp0ZouSUF3q+zmjCi33ICZmHBbjlWV7xYx+zx
PStPlWvoVW1k3ceSsIiRVEzalvBICpnRlxm+CJ6/5Tx4p7KBOVrMeOcwF1axKQG6We5EP0Cz/EEb
f8mymherCXj7epB80p/3S2p9Njq5sD2C3uH4Ma0ly9UEupJ309MozkFafbZwBJ7sLJJUwbbUCDTN
cpt4J1bS6RKyluj4zkAMWDm06KmnWYXDQXiPxuVXvy3di6WUB8XCai52Nj6XZIhE4+eXKCnntcQ1
tSstmASRRUotDLP4rz0zzctH2WVW7ni+UkVi9ww5vI5pEJGoJhsleGI248KYrl+jw/xmKCi8DFhG
K+DPITihq577n1bYkK0Z/TMB4b0ZQuODF9useRVmRsBLzXfON3+vcWyyG5FW8hFS+IMNMc6sln8r
XKb9DGtWEyZ9YnjsKU331A4ljRtqgWa7mGyOGjDCuEf9pLJeqGx7z0LjzJQGsvr03ZAYNUNEyCcM
0VAiW1b3vx8EZtdLW1HjKoJhz86vOi+Vt6/ClvNZnVW0CONEKkNoBu5c7Tne3PuwYWPx0XfAn/uI
MFTiy4T0GWUDWnMG+Tt2amxiMzpxLkXSvv8rDZQU4aWCNCp/OYkzXzfuZuymiyejc815ZFVwcN4I
Fpu9iMJfj0pbHgYDrXXiuRXCOqUFud2kmE+zE/CGm55xcSOqjpPW9jdwZl6oYPrN+bp/VO982ROt
poVRZ3udNaS3wL2VnvfBgC88hCKLMOSav5pFarxBNc3qrtefhoGkN/cNcfpGMBEzIDYaQ7IxbXIg
hTtsndpFF2rQ4N0O2qD7KNcto6o9IAHbh1bxaUZ1KD6C2TwaARjMhuj6tq+BHRYMPmJOxITBuLnW
yDblqW7MR753efJLyh0fRpuhgwUD4YAsXERjLP4E3Ffbfhz2DCKcb17zy1zYH82NPitOYwf24d+4
ZihNcV4UqsazENHVkKg0yjQBFGfm9DSTKFYKVCOXKT0Aqes+e5FxQl8gvF2ApFfOrk4rZ++bsBQ5
EsKvlxFbhGSo1jbK69EujGE9lj37eWxdu7Su1KZ38289muLF68iMeSloUwSufFtmQRRnsynW+DB1
bATsMyWu3xPfbHYTbrG5nfd+7+N26+xkZTwEklL1v2Q+Jhdah57sdLxleRK9T8rColyb1ol1l1ih
DCmb4rRoYgw81q7FlrR0q32EUXDrBPQEut6wZerbXquyaWMlSK8as6y2hgNWuaGpyFD2izsXvxvN
jDXt6ykWFIqfo4r0qcegbF0r64/Rmw4gqgq0c9fetNbks/P8uHCVrqcuHPa1z/hcPIbbWVJaV6Pa
i77JzpKRF0ZIUF7Mh+heCSL9lFEm7aPPGJm+6d5/k9K4+NSX7dzAoowvIlg8WfNFFZG7UlU6XIK0
vBltZxLJ4kBC43JxrZbh2zJku2AU9i8NALWqInuVuIP9pnkkRsrP72OnGPyOwZWMW/s9omW5c8uf
th2lnMft19Yz8r1IcFHYEdRhyoqr58FnRwIZkQCzTLZNtFBmE9I3ivnkCfulA5udu6GUjzgWLq9C
UR8SoD2scesUG7yUjyODHvKOkWdvY6ALxos9tZiiGpjbCd3TnaS72eGZhuObKJwyaYr7uykpLKs4
ppIzAuNLJu2y27cZ5sslf6SLHX13PJg6CWN+BgYUpk4FWQwljsmU9Ts7CSm5oiG1GKyBCQYRhl65
OfM780fEDsprO15jIT9GIYwjiO7ixXIYhsht6HbgRx6RhDDk8GK6pc/9mtYbUIJfrifGY1S8pDwu
rplR/6lme+05HMlDMWHlyaJqO48YLvsBqm24gL/tOOrRslUYu7HMQR1SXBTUoG7D+WbMWc25cQZm
mllLHPZvRlGTlQ5z48AI3sHNRFOoSgiWhQ0z+75yqY5T8DxKMdg74lIWAyd3xx1dY5TkRu2Y5SXG
za7hlIwdfQ6FOZxMEYLbx91UPqVqyg7y8ZjVMxBwFWQybsb2FQxriAn84jDC3+PzJtxdu7t/9DWz
fykidtSdjAjqLxwXOqMsdkudfJslUPrUDgHwlrK/OfqJ1Sg/Gz3dKQ8Jpgw0vdyZbe3FJ9XKFjNc
DEHQJbndiEAyRByBY6ZiiI3ud955JXKqdp8gnf7yKv9Ea5Te9oWJU7/UNJRM3qvX09XTNh62CQCj
rCTR8xhZ80HIjjOrQ+eAFvIPv/az0+Zv1MvbIKl90MgeyeBaUsWhRlQUMA9GnCWUwlpFsQkBO2C7
JTBeORPXTlb7N3swj/lMV9TS5bHExL3xF+rxjCxp92DIkf8CdtaOI8sX2yrfwjF/iaYU9HiaT1t3
ZAPim2O1MykA3DUVsdg+GE6SIYJ5dZtkJq/m/B6wWFAM5RHPLhSsddwTudlxuUU+NUUVjVWpYIXL
2alsFqjanJPpeyWrwwZjxOPYS++SibE6UdR107W5o+Pa+6HlxV6y8OxU6EhVQfrEK5ZfAsboujIH
rqduaQ9DnifsuZvff83wyRR+1dLvv63QqopV5oVJbPJLbjNu+JuvQT3bb9406T+LQ1MqJybMce64
H60vNlz5TS02ul83lRcnbJ5GP0dsbEpnVzTYUwV38xq1mcI1QKmNDs9U99Uv6Lb22oKHs2E39aZA
cseMm3EP5F54xnD06UrZndqUjMQQuHR6lIkNWqBU2xmq7LEKJ0YfnX/2qQac6TC8MmE/JeNgMtkG
RBxEaXafGUlg1cUfUjfWumh9j6ZHh6Y106LtXLqXBFs0JAPtzq9zmcmDl3XUBxUdyIWH9Ah/foFU
+2SLCZXemMUOKvZHy2EYmo/xPibMX0I8n6dUyFufP8yLkbGxH9RTwpfpUUcvMiiC098PpeFyzfXV
SxkkDs5N93fGGRXjMO65lTbqH3NBMVLfnGvhT99ETtI6yba1lRFvqEV0p/btFf6hPqU9BPc+etzV
AjFuKpG4RKZuOOH6my3DOErMkmc8Fb/IrgYhmyAq/7TR+OjAWFjIenlxRGWeGLKow7x0bEiaDIQp
nn9LGOe2HMq3fCrEc/dl921c5414Y3W2ztD8iem3sWvYxauJs35bWTMjG8udL5HVEbgUfQzXJcTE
0S3xX23B6l44ohh7U0sQFTkOw4z5hxl2+Z5W48zITu3IEVQ4xmut+MwevM2srOgyV+JgNDl9B0bX
Qkizv+ftAFO2ggLThG2x0iGPmHyiMZZNbeDWAC8UGXgyLVDBbao1XDffz0XV8Aiykv3o0rgxzxXa
UhWG69GnUZvDiA+GAkp3T6uStrKdypzgpQ7m2FF49ZrQula1+K6Wh4NmlP1LDSei1lQfFpzVTrLx
wkNRIxRaeaNOrZHFzWSbt6xu3nkJ5NZd2ILPjvXkZPz6NRPKNeb2ateGsAiGOoBAzo44xqPbAcbY
yQyGZtT69nkujS9Dj35ch3LZBU1X72T+rtJq2meJnleq9keEVaqda5HRyzKqcxnCiEimobp24itq
6k0e2tWPgqcphI5uQ+InvUih9La2HVoirYKnkZ/TpDkR4jC05Xx4I+KwUN8gHCWwbY27I5W89inP
rcC1kpiqz002RctzN431UzL9qRnKb8eM0wWSz/zkZ0lxo61wZQb1R2fK/gjcj9IpZWKjyZcRj2yt
LkMt7e3ocX6AhmHp0bsQOvIufiR+VmlbHppwNm4M+1+peLTWyHXdddKr0ExWC2LQK2tOREtLFZx6
e5v02QPZOBiEmWlM1OLVMP6Us2piZobj2n0cdbQU9CineCfNEidOmnO1FXl29oVzK9ymuUVWUF3L
/u2fT4Arb0os2SD3Mez5LlUNBuB8jHba3eYuZassO/BQbc1FYqXj2VEelWfDLFe6W4L938AFsLd8
ZfecKBkVNXFoYm8s/PDcjoys7NRoznouvg0aJc+0zKeGgVWfDT6Ey5Y6Sml1KFH2/u9JkV8B129h
7INe8f4WPO9DT2Gw9YPYzpdhHZhzwhkd8W4qpicv5cSZJs9dZk03fgJ26OG8K7VdbkXSTFs8v3HD
m7VmTwP6lIKDi7+0P5aqoANwwMLRppa/czvxmT6eJ0GQ1OtWGc9pP4LqGedpj48RDuIYBPsRpCOH
6ueydvSFuYERt5omqfYxdpQ9y74GFRW5csUQix1rzbYYS0yxkgOLA2JXSCEaDQS1IqE+9iBFDErA
J9bh1urxZAX1tkj6U+sN0baX2ObGkbwZvxOeRDXG4YAgl07W+wijYWj1TwRMsZ/dOdslugrXluwC
OCDY+R1bOWeprZM0l+LGOVlyFMjhZGTQXwGhNYRFUwRX5Vl3BP0RpRuNdQ8Odb67hVs8pzyyUoqr
RjOYX3Xv8RUmTYZ4n2GcPbZnYKuTxT4jLhA0KuiPmht6cpNuwJdDhGa2MvseQLhXWHgr1yZe4yDz
6lD+9h3hHgz2xdcaXhJC3EYYuf/dIaMY+NM6GBzFg2kIT9bj4VkF5rCnxqY1AM51cvbZ/FnUTxZ5
t7cbin7L6jTi5iNFm3l4pB/xyRyJkCEWPY9t8TSiZ6z9Cam3VwWwBOwWzDR9wGkq3ywcuM6db39L
/O9T6qt33qy3XIeaeUWnV54z4C7wabayzIxqc9d+G53my7UfAOGQKumo5/zMAUgmEfsPv3pZskfX
cBfX3iA/oaNtdZW/VrautwYU/qelqQ5uWzy6Tcv138mcKLnVpaXDvbIoenPtPGXBsa2rTcFoMN8H
FwP63JQRD8hyvjXZhEHL159e6PBLRgm8FGdvcFI60xRlYMeN0yHdMJRoWTaHADhAmq7n0s9OqjF5
clgiea+g9IcZ6ZHaonULpDAtld0D3JDiYC4XN930VKPCTUKCVRrewaif7ilmpZPn0iVZUIeLBo2Z
mQIZCn22g7/sw8RhVGL4zsGuqzes0tMpcid9mpkUTb3nHActWtoz6yqOwuUrcNL6ZNpOdfr7p8aT
NQWc1nvadnKXOM1yTF0+/P3TRKvIMhkzWlLZXwIYsr5P0FZ5+AQ6K6HrxcY2FuYpzumhedHEh5gk
8zbXI31cU0F5LNx+8goCCsXcpdQoBsTYu5QiqomO5UvH+P5vvKxmvPq6FD8xYt1aN/E/e84rWWR9
yikYXpwyl6dAQyFUmj4y3whOjniECnLEwL5ZLvao9LNTfMeW6L0qV8TuHAHKMwcKYk+N7IeNRQU0
iJU/tMp+ZOz8Y8YPqLq411mUl2DH3vbIyIz9V5Uf83T6cE2IiFYWUgQdOhwiq+LHX3/ElM7I0zpv
L4ur6XtLbdzl+lFVFYYyDrPxnkWFfTYynpTIUD8GfpACr94KN8UfS9G/5Hncxh0dH/hV1Gl03ffK
ml6w50E4K5qfRb5UsUUXwWx7Fvg47+ImYbPpFendiI60AsreMQpHaCKuQTVqdZYDtbBaEuN1G3bd
jhqIa0TgPj3nLSX3fmSbRBUrU27UU1YHFcDwerh6xs6+5nKm6POB4qiNB+8jpyipHEC1SXJ0W/zd
oG8r1JNcO8Z6piHRDuR9KEMKv0KeErWZEDxnOkVp9qzWYqDMqp8QzLsI3FSmYWOMnSi2PUg/RnuN
95znfok/lYL7Cx7I5M3pYT55PO3XkY8jJQ8oXZ3q+QfW8HZvesfUMPwLUhbbftvY5r1pv4Vl8Ltq
8UWxbsaPloJqoBVl9sOc1CWa7uJ5rAMz5MnHfFFjQahpNFbtuHe0ae6N6ougSxOPTX7LEGRXJEv6
fd/7297XsRgKytT2PVXUetHDS2N3tzDTQBY9o9zoAf3TI4m0ysXobDIRWey0bevWjooecGLLVfNR
IamtiBMFPF+kXNmSIi6dcMoLME3MUd1u91GpyL2A6ARYGU04+ioah+vh51RY6JKJODhz8NZajEja
QBgrKLmkxVUFTUt6CKqMK9lJ2xs/jKwLB5RngNzdUXrdJ5z1q9301ZPy7J2T6/QCF+VpHqj+dcwy
2fAgnI8ZPYbKrE3mYcyfOP8d8Tzqq+EG5qFb+pe/eQLlWncMns1BKfZFrlu8Fl1DXX3tvys3oAJb
BjMpFeOXp1kpqky0W2OOIuI21A+HTJ3Wfmk551qpH2nXqlMOHnG14Nr5m8v7//UE91nCNfnxi46B
Tc7tnf9U/x1tYjuWBb/k/01Euf7W/+uIkfj3/H/5Z/8SUQLnP2TR/SByXcfxUCaJY/5LRAkAnHj8
ffjATJAV/j9QFOs/jm8FxAi8f0oNyNz9C0Vxwv9EfDfT5L+YrmWCOfnf/QxP/0Qp/ymWSH83/37+
30ERD5DK/0iD4ok1PZOshBWFIf+RBpj/Ge8DqVEjDnrdvp+m9T+BKkUKgFuGxrWu04QMmSfWnaO2
bUVfaecnG4Nc6LFHEh5Q7+9ppF6GtAVmpgpxrnt2PrnmKSg6RMQp7OnoLZti10+EWMLB/+5WOAmT
3LxiDfJ2RKCcI0rVwTJ7cWgjX8bOR0FS6RT1CLgNyQc+DPnGUkgw7hBVWGwefc25M7+2PxKr+OqI
oD33rk0RTE8dc7XoM56Ud5v2u7U2ovZU9mOy6ftIUqhi4MzQhovLRzLUVOoajuWdY9ll9sY+ph6v
P6Ql5b6m+R55PA55/oDIn2Z4dx2y4Xpo4W/bEreBb7hH5fZUKg1JH6dTdRvzKLkPtfvT0MV3HMs4
hcxwZLAIpwoS/UGVtMUY3KLDTCe7oJ3GtPNifemqZtVwjrsUnZFverOjDZ5Fd0VDULWbm9Q4dG59
LxYr2LWuqLYeUdDEbRfGSAWzuVS/zUNX7ZnOhomuY7Zk1B/6lEKmjyt/fmBvm8Y8EpT8SB8ZNQwT
d3aGSLjBvWnB71U6J0DVM6rFsFhneezLjlYIl3BQbkWo+YvaMp+5oxIzFdUt7ZUD1M2/M9LOVNts
Zu9M8Hpb8yJuupHm2jKtRyqD7O9uXnOGdGrcGcVeaZc/tNSR9UqBTKBmqClIWgRTtQsk37xMxKl0
/E+FXzTGFNJo1bw07M9XRjXiBuhGzqhw+tzKZMF//AvtsxUtEkaCpBgRxxnx0yDdkHT0+icFS9i0
eTm6CKH7kYxia5oCtHg3jYk3JTvgqMIRgTiwmSJ3vwzLe50R5fWWkiw8u/xlDrpX5eUrnScXyO4+
+Qt11toCwTjbejN7CRYPiz5BBuZHxKUt85s6nkde3rF6swM2Hl3nw2KVYPDEcQ7hapG2UdtFc2tI
LrqcZzi46HzrMAFb2pC43bHJlnd74lJD1Y+5hqedXdoJuEJTPSaxVaG2KdKfkyEuTlEYp1G17LCw
gnUjhxxQbckSFdJq3K199hW3ORcf9XJrIDGdypaa8UCVV8dDPvV6ugwn2EEiQoch3sg1P+ov3/+Q
hTW+DsY3bCkURdFScHQHgzeVMULRFeGZDjbOoUv2MfSFcXT0wqlrTv2Dywl7W9kNgVy7eWd13YFL
82Pk4Ho/NbwFfovNorG615RL4RwmplybKtxZVJY92wk7ys4aY79Sz6Tf7Tixk5HlmflxUKnlUpaI
ZZlvQjo1ZJxQsR1hHLByIeImaZwYxQU/HRdPhXQ7TmvDtpZ9V8mzkcBGGjNsCLRnoBt1+VYxipdN
tHew5fmh/Z3d43NHEI8zQ/lKq1J65kdBu3ui93RYy7DuX0OHkNvcoa4FY7lNBgR8fGX0PvbDb7+B
qluEtOsR6mYrbWuPWbKPjTfgNDjpe5mWMHcmRJykzHrajSMeiwzZGmusY+nK5ykAIjnVcKbHqvzK
R2Z41Vz8alIBijRt76KHBIn7StE+z9tbdJrC3KUcNkEvqIOsiVJiNBqZ9u/dP1g9gdVC+oBVsOzn
yTqiQYCrziMQCKp31jLIaOcLxteyZLDLSXrZMmhwUNLCd8PXXKKhtTwLsLna+C1M0JBEvDcWvgen
GqEC9GQl6yBOW6Tnpt7LpPZOtknjb5Z/GRO4KSjpWEikffB7LOF2I766nh2mBjs+5s7GDIwHGB6w
hSe5gTpb3BrV0mWeJdynU4WcNYQ7kZP/6QJIt48vmlIGGhM55HSp4Pa0ZRQLDv405CFs64LQKWmy
Vf3ddsjGpxRdraaZ6rMyre7hgOiPW+kc0ZLK0GprHHA301qauxSjBu1wEVZ0DStOQVonBfUQTLrR
9Rjq5rpYEyWFYJ+nvwtD7gdOjusm/5Vm4yWV7bg2AMBvDIvZbzgrhrgVLWx+PrBVd2M1unRZpQOP
LYPRad2kV2E6C4RFz9v5efgnD+j885mix+z9Pntp+mdUE3tXVghUk5OY1ylvY8et+i0xALGa2fed
kxzI7uCM5a6yVftkz/RA16WxTzv5LAJX3oLRyM91Cc2zrwgpobVsmEE9TwO2XDQK4xym7bGyOrTh
nrxiwapiNAaKcGok+ALna+QU7Yn8NlbrPPw1GQ5HBZt2IQWnuh3sP+QivHNS8UvU2C1Xdt72l7aH
mL0IHk2K27O2oTV4ee5s23A49Q2W0TSadwLgD5cBW1pF0yo9ztUIld19rFu4tqFl9VeXikeKWfm6
ueVZFxwNI+O+b/xrhli7cibTpHv2i9We09/j203V+Dp1P0aTgumRWe0qHB+eHbMVu4Go4DpomOos
zBSZuQ5z2sVszfiF8+yNpEC2Y2IECcfESP33ZmT8uhqlsjdQxLcT0gQQlnQr8Trt3XGC3UmRjD9Z
n6WdRrFfRlci/jOp7ne7J2mgIxMnQVqtm45Hjcm35Sp+dElP16E2l73lJz9RtM0VhnoqgXTI8VcT
2yOouI94PZGGCnNPBeiLAn7GlOM1mILY9XEmk0FSazqVfix2eGcZGje1cqhfhWy1GQbovyHiOY6N
cdyI1qC1r9b2NuytPyzMrkW6pcBdjg9wuFaFtZ8f5RS5UvYKKf7TcRQXBk9bkchzbwkOH2E3rpfZ
+qoS8a3B+XZmnv93KXOyWuEon2BxsEHydBuASsD4bj3KHWn0wZSbHK0MwU5DuU5m5taMQnE+fva5
2W7rAowx3I175PZXxuPZTkecbl1e3LVI5mb1aI7YMNb5Jg1a2jT+9FUO0gEz561bFLMnC4NUZh/N
LFuT3i7Zm9DEyIMBUcMetqU8WBze3M7YYE2gI5vXufBpvZRwQM8G+W2eLRrDmd8+bNIRZSU5qOyy
yZtb1+NSKHERvtBw+DNc8BTJZHyyvIKwRhG+VPVro2ZQ4XbeU3FOsYGmtjMavHPD2lyxNr7UiwPm
TKhoTym0E6cgl4jQrao8yJ+k2w7HVCw8UVPmGp3c2H6i791D9RKt86vANP0qmvM89ebrMCGapOP9
7wctMdVOjJZ00I93d8L7zII77hOU9q1v2gslUgmW9a6gcDHDNvWwSStX1uCRWOgxXm4a34Pe6iAw
g3ti4i+Vh7xpsmh7yZ0lsbm6RP936Zi1W6p0g7uZ2sFBPE6jYYFCgP0tONB14yEYLJ/+5EVbq54N
slMaH5KIyHdV3t30Zu+eCLEza6t//uevogxXuzbr04y47oE6vIuUm6MnWbFvMjSsXrd2/MhWbp2S
iTjWnOnNMrh9LeAHO48RKvtw96c3Z2RYNW+uTdeEbH/2MvI29mTXl9qUySqVfn6NKvuI1bQYg+VM
C3UObYfbVeRrbZK6SL11PmLdqTFjBM1C+GEJV+c2zMIXy6LGBD7BG94QAu4O/gFHWjuqzJ/nQNyC
gRZKYzHQWjtaSFIr3feej8dAqzs9cIx7+v7dn5j3deLg19G41QNe+WWQySap8/cynbu9a2uBJ6jN
9ixxpHZ1aa3yxvqmTRroqeOJSUhQnTs0VFwnJV6WR6HnaO+VHUP6YEAEl60YKDeOTnXVxuDnooMV
1W96BdhKgNtPZUY8BV+lzytksV0AyWEPVw4czzV1msR+WfQYIW4GFjvqfB8UiRF8xRDssjzE2uxS
ZaDG4F7hqdrpHHvxovDXeFW663Lsl4i4X0w+xw0BIwtzCZin0ndPA/eNqkNG3fUidzXl0ETtW8tb
U0BZfOQIFvTMDaTCpULcyk1UFz+EfD2o/2LvPJYcR7Jt+yvX7hxlkA7gmd0JNRlapJzAKlJAa42v
f8udmcmo6KqurnkPEglNBgkC7n72XnuT4PhZ6dPwFXyHWPIH2iLuauBipi547VjPwmE82nXxw3ey
hTJo1XVjus9F7td39VLsnch5oXHeUaTzkdJMPUkY40ubVtYDtxukIgK2OIUcSjiMC6Nja67pTU2G
wDVgmdZh0JB85dTLfTf9nkdji4uNn4Co0yfYaHvTmY84fuuVBwdvFVreN0fw29DpTebthC6hrg6e
RpxxPj5MsZ4fJpOfLtHZcWRhyPkYOvYNWix8cEKUm65tjgxYLpuGVtzGKZInipofvYpvJE9TsR0Y
GLUYsV4FQ3hTLGT5BUP2FGDn1prgswfvbBNP7dNQBA3D2d3XkOfuMrrkeuUFQbSu+dGr6aDi6wvB
H5Ab0EZReogH9/NcDfRiIUAd0QEtW8cO75FI9Rtfgr69LkXyTQFprWeeDpKT8eq8DcmQNhOwRJT8
wlFzj3j90OtajzVtEx6D5gqOL23ZMP5eESpgtsuAGjyogJzh5Ii+uu7o7LsMCWTmmdMBTd9wcHnH
8Jt4dAdpNK5ycHYrWEp00zDEb4nudLejj/3I74N3aegx/pk2x2lxXHpQo39F5gyboJwBdJqfh8Xb
BzoAbewdxiEYckZq/erKD6trYeTd3VjanyR1UsSRiV6jdA9pGd5RciDGoe1uiF0d1kKg7LbBQq07
HzPcuIi7eqLTxxDr7zQPvmDPA8VB/8EXBxeI88FdCCZw2+cwRRFEEw7ko60R3Z323Tp0SBxYbO09
anKYBPy4VlPN7SI2I574ec5jrkHDBBJ0m6QGN8k2MzdaiJioqOKUcfO83woDNWbikumKjfymXeL0
2mlehNt3V3bU31i1d4qTnmaDKaJbatbjltYhw9cx9we8Rd6xH3sSJiwbuWNAk9qjal8yTApX4EZo
9U3E8+jIFRlwhRo3geZaG1Cix94IvFVBHRcdZMVvtPffEXBZEzahfSuS6gV0XnrkBiyQR6IkiQZa
YWMXm/jcCabJfWya9ReiXcgXWfriQGY2Uhsnp5HAmyN4b1+2gvhsmT5ARwblOz+mRf9kFoZ/IhuJ
LJERlyscQdioPa1GW3qlCru9x7dnrOsm+wQllEpZudaastyJcGN6j3PfioONxmWbIdZbUXcHghil
q76E7DngLl51Nu1sCs6niWJfbROkQXEr5VZOK8zQGSYMGXVvNvFAkkdNtqObtf5+gT1NOwWVWtka
N8TNGg+3LQ4bOq7veXJ9H2Chgb3xH2pLEGKg9yha+HEHYc8QFUk5m8krGOT24aKO5Cdpuv2ELQM1
i02TfNEjY21OYBt1fd93094wGEGD/0GDYflmmyijYhF/DmiAF1rh72mO/D5QYECgxoP9ISmDz86A
2t1Dx7myMjoTTutx11jsLwP98D7pm60lkHrr0YtNDhHl+UkjHIsmmldO2dYCqwWxxtzS9duWOYq9
ob9z3P6pa8orkU340mgKbRK77dCFOPcLmj18A0DHojp5H7f0ZXqaBohx0uDkpIBqSvfz4urNp/Su
sHWHoIom2mSi73aL9iXqGJZqw8+GxQl82vn7Qis3BhWVrW8t925BIX2gyL4M9F6FKegchMmy82py
nVHCFFsZMVxMWBTpUbZrY6HRZAFbGydN24ZZ8rJEdJlNnaGYuUyuCoEBMu/BEjC+xjBaFTzPzmKv
5zj/oHpxCeIT+EW3AQ+z/RLO/cbpNpnN56y6El4bcFZajFH9rmt0KghIO7djOJ2i5QEbjQ9ag2Kw
1MZI/2/eEugeJnWxpjXR7G1sT5Vs9wOd4CqqA7CTtbMLOn6+6CQsOYaGptda5QzV5G5RHaheUpLm
0b9t6xFNd455FoXjS6INdO9H/WRH9JELEw6vlx/d7EkznI/NjOpcd+kSF3XGWBhULzlUOQ9NtJ70
EHRuLp5A5GsbIq0Iss9q4xBCjZ89N6TcmN8HM6LjLKI6QzGj2sRVcJfRcboZSpBmYRB+GbM+OiHn
eLL7Obsyk+ShE+M16d/mddPCF+noeGOA5nIrwBau/TSaH3Mr/tDXiFRkVwOz2VUbT95VKQgLom47
7lBwnoKgggqXY40BEQOilHwkrpE2IaEonImq9QznHDj73wrG31cwJPv531cwbr5N8ZfyTQVDHvaT
6a5bMNpt8gYBMwoBh/dXBcPQwbc7lksVge6qawo2AQHrov/7X8uVB5H8wVGEMHsmjOqfNQzKG6Zv
CA+ILV1BaKn/pIYBjPuPJQzd96mEOIBTHccAJ/yWflwnEMfGsMBUzIMuBGeFSKTqlz36g+vEEz/T
WEECIV4UPuNtkWswYEO6ThS39baOnC92jkvVogc3EmXaRmI8TyybVIXA9IivyefPuUyVtCpiwqgw
tgzjytnCA9uyVbO9TAtTc2qS8uRFguUHq3bAGadiTRGQ3Nd5P+4Uf0lNjLYFqaZmK98tjnH+9ZL/
oOIgXIkyuaRDgEALt7OhRQimwWJQi82lRDE/lVSZ6NXI2W5BqVPkMDpVgnEv4RW9zMS7LKo53xgR
Fc0g02S5WuV4WBJMcZk4vR3te5tQJUljuWQ9qJDhUXO03RK312p9FTjTeqZqjWGa9tVqKCKm59Dh
oSwfM6Ntdq/Cdc+zLn7YYzo9OojB+EzbGeOrDTFLTdRiEifF1oi1743m9WgmY0SWS+sODL5ryXTl
UrzPUEatHCz2SzV87fL5XustAn4W8nZaP7/pov6uAeS6m1u0RkROrlwNfk7Tx90+m4bnIEpQBDT6
AejeM9iJiFZEczsaqbOf3XqrV0l4HzFu3TVXgJ2bK1vOUYmnxG0Yv9PTxcGqoWsd7WFnoUJfaemS
b8txyWJERGg7ymMoESbqu0lE/Q5GXh0sN4yPvVffH7kyEkbKeEt3b5cj/hbRwSXA5x1Q6pntNX30
b0QzIBCRgCHMsD8oQ+TT/pi7rLOqkbi8y7La57KoznBZpytuUU0wbTP31eGy39+c5u1mddrQjJwf
EKTz9vSqWZLmTERSr+moN/fmPajFf74O9aCzTosF0f0v7FIug3wui2pOrRsy+Eea4++QVr15qfNH
cPlI3mxWi1NBoUrvGURVi9FoVHv8fjIvsUBdzu9LTV5xpBQr5rKsNjdFgmVSHaO2pGqny5F2vOxn
pPxrEmiQavzJad+su7z8KxLW5Xxq7rLP5d0UHbldpLV2m8vOf7bf5eU0egO7BvbEZdXl0Mu6y992
WZe25l1DH4srXIaoU+B+hwiWvDEZyqPJqCjgm1JtZUDja0yNMOq3s6aMltLm8A4TCCAtUVN70A00
pUJDBabOcTnbm0V1rtRNZSK4fDGfHxvJuPLF5yCxDx0yOrXPnx2n1p0PVvuoN3I+w2X5cvSbdWU+
mUeEZOVxZAznVAWfbXRzRN5CzqxOVGIm/bwcZ4IhZbXp1awzg83LMnkbfbupQhFCQrCiJcWuvFnM
sm4UxwWEORmCqxJoG/VIeLVTqHZV23T54LjsqhZ7gfpmJuYpkYIlxOM1IievOk9aQybQG1pDsN8M
P0NuUPupOUdxGC/L6uDL4uU0Y9z/OGuEzAF3iukwgMankxf1cFJzauKUPnkTHpbJVxu6Fj49CZUr
7BPdiTv068mfretS7rtEgiqqk+ItqTlT/mzVXLpIgpzaEhrTobKJZJ1U/FEMBIGCrUdpsojPWKhX
O59n1SkgO3EKKrO7xMyiQ5LTflCTfkBxm1fhsO4iF+G7fLipSWzKm6JcVBuQ6tMOr8oPOmrsoy4x
lGpiujpxYEVC8LXjhx8n+VFZLXWfqgWoHupAhFFYQC8wGGZyR25OYGn6c8SyyllWE7UuKp0XvZjw
zMXmcprcYDkNckLJ3tgXQ4tFvSLKuxXdSc0lXbAaKIEdZykkHuXEmLp5L3pxinR85OtgMJtdaC+P
TVBCJpBsI/Wdq+93ll9yBoVEJrJyFfXq2nHkQzC7WmDxcLwFIC8tRLUOyAhnxFF+ROqDCeAR2tD9
9sGi2ye/9+2TmoscItjU3Cz6cpv2Jb2vvJiXtSWBn+ZiyxhDEOonyTc5mVHJ8ISt4wqa6/ZgTgy2
TfYyovolksyxNEqmlQvK2mmsZetjRN7GOUMSaYSmYdJ67JLodE9Z3tMh9SgNTZ4LcR9nG51p0Iyy
VWer1lsqM73UMuNqP1eqZbVFTYrFp51XUceH6j0xdKOWL9tf7aROopYZpRI70+xuzq+z0DLc+AFS
tUWznjxjzHcTeAmsbZKqaf3K0qZcuA6q0ToY+UEYoXM05XY1sfBOnOegjWCnUcvqyMs+3Tm1S53z
1+6XfRr4Fytz0QNGvojiU5MFFxIPfrnMVYaQv5Jk1T/dPosQ2WpJguGbfdTe/8E6tcv5VdQhQTx+
DcFUbi8vp+Yuf+owjc4KSzODBPKPUp/W5c99s6j+0FTbO8tDJx9Il4nxK99QraPU8CPp0OiCHZ4p
wQUrHy2leppdjlNzk5vxXLscc9l8Pm2cWQVK6Z8vqFa6yEK44/7xZdU+f7lO0JBfMyK0EzowExNy
9UlNuhDSynn51azaVFC3Pu/0ds8WiDr3n7/c/upMb3d9tXyefXXuyZz41SEbP5/6X7arXZe4LEkh
//rqNf589s9f6fKm09l4pv6Y7F69AzV72eXVKdSWt8tq5avDz9tfvR2LUIGWfleipearSfZrEdcH
amVtPqg9LusvB5BtEWyrhQSTXwcFdmeeTCcjTVTNqi1Ig43zS5Qz/cI83s+0XE9qMs1QialckgKC
fT1DvcSsWqk2Z11Fb/iyp5qLssjYzBnhrslls+hlZ1ltf3U6s4BFbI5Vpa/VrNp+fiW1nDTLM07y
bNf2vc/YkHxf6nA19+qcl7d02czX/agZhcxtmjSEKOZ79Vu5/CLUoh0Ko8A+o+42QwIl9LKXnlfu
JoiJO+RxWpxGheqMVAtolG2dywTlXwQkFfW6O9U2jyLf6E5J2f2YaMMCvlEt50vq6Gs1639reidm
nHrgKYO9kfu8bJ4hdCE1/ddiLlGxJ0J7EIFpfXsCKvqZtg8jCLOFNAaZEDkIX6mgIiiRxTuCGxzj
KQRkdyr74SOk4vwqblH9d4b9OZptH4+BDNDkNBT8fCAA20b+dar7fpmoHv4iszSRb0AS74vkSu/R
L4DuOXRRap2ExcNcdO46rROEDzrgdltgZ0Ds5kxXrd3tdJ1GGBeM0QCI9kS/XjQHjVF6d+m7qqEI
1YvNJ2fc1oLRcn8cjNN/Jcf/SQgj2YkIcP96vO6nTPl/yu//sy5xCbzEv78euTsf/1N6TBaj7gvf
I8TjZ+ziT+mx+xvaZgpiumUJFYp4GbhDYUwKiO+Reed56OwZ0/s5cOf95uk+Y3c+OaeuKYf7/oH4
WKY+vgqikdJjtMc2yXqm7RAMKf/y11FJs1GkpOVN2AWgG6Diz8PvznLVh0TsSS0MHjHdJuXYw3tl
fHNIz26RI+oRg+dfTVppEFOgo1DtzpPDON6P1UHHvVx/NMi26OL7Vx/znyilTe/P3q0lhGFZfDwM
X8rMvVfBTqUjRAVFgHc76QhbIFMwan6vu+bCAM1Hni/X7ZAiygSm5GKA0B9dumTVQkAGFHitezFJ
oxtsfIA5tyzYqDZIv5gkiNESx5loC2gqqACIhcIBAszH+tZSuE0xNEfBHaepCxSa8P7CorqXp5tF
vg7kOvZIG8Is6vKL3AcA1aqrEizwhKg7Pq69YK0vGqf2dh0ZKJV17Q3k7LJK7iJPWVfGXr4Drxp3
8lSjU3HX6hn1+mJz9p9vqraLjXxP8g2qN8xwfqk7W+Hma7lPzOnCWkYHQT6v2LfUwNA3yMKAKTBf
M99ScwugAJt5uoMVQKtav5P7RLnYNs6+jjiUzTYxJmHFIXLXkHWJiVO92HjdnZ1ORxOySD3wr+m3
8mg79g96HnwWLToYeY4Yw2wdVeA3Q/BH5rq2HSx/+5p3Neb+jTydSb7L0B5skqjkHpRxH2r2RthD
yDYvO3b6d9NrcO33a8u+AxZjl7uWI9KCE/Aa6n3x4jU6gp9/qny9Fqu/i2elI+ypGCgAEt1uRer/
6eDoLy1BHmbdb9UfwHnsql8FWryXH4/82+WLy7/B1pJtXaQ7OS8/QrzBO7mtpQrkU5lLn3Xe2mwV
723SbswmaldmhiHGDPU9A8SrnjuztE4J5geickwoaflGJ/5R7xh4YMgMu69clDu3BvHjrXeYkaDo
GoG8mWQBDTvqROu+R7PDepktOiCkT5bPMa8hz9sCkotRBakxbk6BtwvKMqbqHhEn70qYBn7+86Ee
AguG6lfAzLYxlgIGXqDZ8fnJ024rm7+Ms6U23JfYAAgNiTbncPkO5GFjthP+J4NHaApoZABQOoC1
QOFT/o6QbeULCyokeMfa5/JHuxCudSva/I6KdN306eOkBc9+qHVS5fo5BfWSGWLlz9Z9kGfvx0ok
G5DEq8Jz9mHrXrUYafFHrxdZ5UqAfETmTT/F/QbXq4FfeY+/gba05z2nxUezRfsIohkObeJRWtbH
LwUa8zxC9y6wW6P4j+7x6WypAnCdARUau4cMzTOQhm1fQv3Cu8xNLDxnN/236PV3RS9HmKTy/fVD
9P5bUbRzNvxe/PHhaZ4P/Pn0tH8TWG1sHp88lEmDxTnz4+np6b8h4TAMNpsUnCyDYtmPspdt/sYq
4ekYPA1fOn4uT0//N5dnnXANz7B8QQDbP3l6gi3Fi/SH56fnSk+Ra5Cf7BqU06S159UTiV5Bu+SV
PsNNrZ7GZFy2xOE+2fNcrlFpVi1JdKFm3BWZvuxMXWC7N+12l3u61Ak7B6je2WNFmE5LsABaAHuP
PFb2oe1wmwseFe6Ekl1kw3Rduu3D6JvtNtc68syiCQIBATpAlgeBdDrIibUnSZ07SbgNrelxGgnq
8I0PRRAmNMh51pT2LM+VRjvP0m4ZJOtOYL0zh7icl6SB7N2k5YCGwV4tox8d4igUPCGlaAvOJ/Kq
tNrYae9RjcFA0qbhB99CNZdpDvBSn+p5Mwpu6G33Loke46Sp6BMN+6hLhgP6xU+ArZq9Qa4VfOTv
I16E1jKw2c/kKs3QyOwSH3tqgqTUsuyULRGIBGnDlSlUxOPI6KEJHYFeBPWK4hPBBgna3aA3ZmLB
0MLgJUmPrtm8IGT9TiGqBn6ovRPuUG+XBN5iP+PjHDLvmA+RvYmFeeMGWYBVxUuOsd3epNbNOHHb
RF5xLKIBRXDhwxAXC7ZF2/WOExE7QFD6+riYOuNOfhrfzthfV4nvn0ox3MSQVa4M8dJGbXrNqMcN
XD9QAITPo65u+21TVem+yRBBonc1EYDhybAgLtgiGNbgubr1TM4DYCmwAIPUK9lSuQQe/wNpFITb
TUhzSxQOq5jcoQ25RON6QfwkEEENzbgc/Mo7RMiGCbTg8dF9CZBNNVI/NSGk6qWiypHaKleqrOh4
MBqK8GqRCqwMKRZ0P/fgSnWWj0xrQq5FL6O7CxBwTVLJBZ4QoA7aLnJu8Ici97Kk7iuQCrAWKVgi
NWGzVIeNyMQyqRcLEI5NUkEGKx2amlSVzcjLdoVUmmlSc2ZK9RkC+HaTSkVaLrVpvVSpeVKvVkdf
G+RrjdSx5Tk1Q6gSO6fQvtWp3cKsRPXWIH8j98l6xLmCo8w9JsuwaaRSjnxMkrjHqdph/jSuOaTm
qch1EkiVnSv1dnSb7qGiL9tRavGoWTYbtKqfO6nT06ViL5PavbaGPLx0+seJ0c01jiJvTSDlje7W
X/FDcwgiQF+qAcM2+Jxr43Wu4/FGK0IbLb6xpYJwREpYSE2hbur6xhisj36TPbVSd2hKBWKPFLEJ
EOM0QJ/25SxuSnD1AjqCVC/O5tMs1YxhMT74yBt1smZ6YaJ3JPJqn8XBc4gzBJcyY6bTWK8sZJIG
ckkX2eQs9ZM5tJB1ZcDWAkxDyRaCxRJYXC8B0WXuzpM6TEcqMr3GsNagLZGJFC3ued164FN+AZQL
diQ2gJuEiLpN9wXE4b6Uqk+a6c+N0VxDJrQ2QipDhZ93V136Dvf+NWbgvS01pJ1Uk6afDaSlqdSY
LlJtipF5jQJOW41SiUrvRwpqUacuUqcaSMVq6Hhr3NVSx9pLReuAtDVH4hp4Q4lecSK3G7/XBmvJ
C+qv5WTU0Q4EKS0Dd+DyCzpi5Ez/uRA6w3fgKXb0ddydbscM2FO7SDHaxbWBAjemibHQ1tExbjdW
ONxWU5QfTIebEW6A/bjAfyWokNYrzStEvhnyo2OJ7Lfyr1JEwBFiYE3n/uD4e5ym5qExl00cJPkW
quNHx4NlN2YWYmH6BrVufSgzbJjd3JOqOMywEq1F0u/xf/ZT+n6AyLcZW1SBgmrnlqIArW6otp3T
vl9sbnTInDupd07gzxwMaP3rJY+uhtpgKNjK72Zk0i7BBmM5SiYJcsMymd9VGQYFWaJ6/Lhklkef
o1+wFh0Jw0EH7WJGR5TtSnX2DI0JkiZ5spl+XfhkBlincUyT22WmGtGTDHaTihinvfOllrdrv7c2
PmyhjZ+7XzTfOTAKRSSPmXP9Nrq5RUQFNoAoVkxwJ4ImNotL8EZuPOqOC0o3SCCTu8ZGiGVeATt7
WTqLXJu4+NBtETWutMQtNnoIQtMyGmBswjsGB7fXX/QhrredFe21xQZVXaGsKiEu+EF/BCrWrIB0
cYfpNlZofa9F8T51pEy28Y2V1cTrxeiSneEFZMI5+EQiP7sJlvTRLMliXjoTdn9jPVlmfOOAvKG1
WfcHDSkHyA5jP+iCFMSCxEtG7zcYSXfOvNZnK9+UNQq9CvY2EDrYxt1tNwQPdQOrM4efZPlcRJVA
M258qiOI21MLWgV/FE1Xczh2+ohn3cSVSDeXtrb3pANXXef0bncOIQgkag7HBZXPzqpcHsUZdHC4
0syvqTciuoeKX1OVQ9YZPjTGcixMBqIiDG3ZciwTLrm56BF9BfHngTrjTaiR7tOn/CkOuSBN5tLl
oKsZ+tZt7hcHraVIjoQM+6VPxcUnmp5RpvGLNwAYaaCTJMHvIfZ9f/a9lUXQR+jk00lfylVaz19S
zQs3HeJWvp5xb/j2pgvTL6PvQmIlKKJ2PsSz98VBgbbpm/ew2vdj2t0b9vghHBaguXV7pyXX3BQC
TH4+GYfJXcAb7IqElPL+RrOlb4iU6Zqog2MMpWXt4kotuBes+wDyZtvN2y6oK1Sm3CSr4EhCgdPQ
MQm1EZfq3L7A78tJgNZSETHuTspzVdMcscNdbyZ4DjvrrhyG9+mcD7gFvZuw4+LqLOumDCJYxlNh
r2Vgd1iWH5peBg9wd8Pf5OIkbd/5kPhX1px+Bc3oUR2y7qpieIcGo1wlRmqsfaSO40QYdkgxj4sb
t15ITxtfzGrsaa/UGfz97LHAGFXU9VdtELs0L4B0BAKXKQz3zHvGf4RSPqc+p89bEYGntiKuPjsl
tWYCycA4tgWjj2Apfk6Csjuko5PuFe9CT6coxZOdSEgpU1KTsXNyolhyCnppxwN3xMvbB8CjgnCc
Tk1VvJ6odTBvxvMGLgCanGJAQPWrYH2pWsMA8Y6aVP0wgppIhVPsyoKGWubHmR0HoGugi1uZWMVY
NbidbV9FUllVzsekgtPf2+shxmWqwnxUZfRNoVRtQNUiNuoPgTjKwE+gJFvlUJxUChEu42NrG+1e
rff+GE2l9mj7+ouT0MRWe1yii1Rk1fmcalZtMbBathAI0+qY1C/AqKxTOTxRU/WPAqX6vtLS2ygk
mGKdB7F9Uju4y0xqhhccz0FZhMMVJ2rrPmFWclYtB+iGMT7oIId+FTQb0NlcYrKs+aZW+WadOsOb
daQtbvIWfM6b9ZdFL4iLNclkGMGJ5NlEkbascMLWp0ZOwpRErkqM7rJWy7brvM8qxMCqgnv5WlVS
WKaXfLfqa86mpvkRMCam8X2eZgH6YblOd8Py0Nr+5nKwmntzwoZ00ZVwI0zZv4qqau5SK1SLJA/l
m8ZFgKvegjpVqq4xdcLzLJnTH0wA1NuL/EDNnRUEWZfLh0n/VYkyfFmNWYDSrRIBuu6ckSXK7Bga
bUJiYIJM+vy1hSQTpj/m1WcvKXaM+QH8P9dGVRVZ1UrV3KU4OnY3aZXrx3O9/Fwqv5TOQc/tnVoD
ROV2Hy6qDRf44bLGmuodC6eb4djQqTGkAAvHDbJHWRqaVflJLqo5XS7aQyIrSXLWH5KUnmi3DQpX
HKyq/KQBUL8q4yGUYcCHmSiHe1avW61qMPSdChhIW7ObP7d1sCeQcHo02mt7blKyQJy9I8N8gyY7
udoYb2ua0pJP2ewqN2CICV0I8ObnQpLUUy9/KCwii52wSPYRdbNN2VupvF/SmRPxvC0X2fIwqZzY
YIEJPKeBVnsZqaaL+GJCrz0MeMWR9jEwvbjWyUn0W5DcxgYOhQeWwE+OxkQrAuL1kRoPVlzRpldj
b0UrYwjyW9MseUKKhbaLq0ZhBXBbd15NTljd6c60EY4OUXwaPg1mASyYQGuw/XDWk8y0NjVIpJMY
i+/8wp/RHlbHxqdfpuFePfS6jgMYPzLZlBtMmUAPWgbJAyFCKMSzfeOTR+vzVFhF4RDfmhYtQqNp
8KgTZQPIWOrMloSuZiXlobm8K6s6GUJyHi1q9rLyzT5qqy9FqJf9cHh8ahqvWjeWf6O2ZSprTM0u
g9fvoCreB1KHtci6tipkq8XzhG7J2s/wuzc9QoWE7gx6uaUWx4gxx2pKaST0PhACyvja4N9POoHk
6kTtiORDzTWpXp3SZpmOYrq/bAuKgngJYsxXal0tu/j6LK7Ugb08+nKKy2LRktuJuTrftGhTKC0G
mNrnsN2mUkFEVA2JU2r2Msm8pN2PYjwmGRJ72yks8ibk9e9RD1SVVrqgxnndZYOaUxPR+Kh+EMhV
e+zn5/qt2hCm8+8mEF1uJJxOTaqWuEeDdh4gPj4v9bmQxBbvSRa5qmKd79AW9jX1SW/nym9KfQ+A
nNigvlcqjwQIqllTPpd0y/lAEQQYjK5hopSTuS8txDRRCGlqgbbpu8GmBw9FqklonsakMg8eDSdH
ij9olyOtkXMqZPfNOgnCWZujCTChJNI2JCboVMjHr4/fiz8ZaW3tijgBwPdAOnd81BbMFDGNyHG+
MeWd2FR6FDk35Pm8zzSJCkaWbYtq3ju4JOm4hlRIJbZPSVLUO1iUJEUpsNUbRKhrrspCjzbq1Scx
OzsC0G4tSqunJNPaozd8npMRKVU/Q/TE0Iz9rjiZIm52tuc9WPIvVLLuJknD7kotTxnWMNzIfrJN
JuIEcOvkKI1DAoHtrJnA0H+7FGyTzgdlrsq2ek5yBLj7udz7enYapepTTdoO/ibJH+B95cWmDlYb
egcpgPQo8wRI1LRPG/xYCOVWr/aSJ7q8onotdfhfrvPOQjZVPf91sDruL8+qNlze3uXUSc2PNQgZ
M2vd5D1wTymRk2dWO7u5TIs9v/fLMVHmRYfFMLeXVeddNNNl1ETC1frKQiQ494gph1DsKsrTJqPp
ZI+58bbn0UsXn5+yJrU5DF5F5UGFP6uVJBq+Y+g+2pFzIA6YBsgCoIJfhmW8sRvLQN8rdQXqylXX
yWUyud5tE8TmDjkzooPxIbFQ8HluNpwIwZlX4+KWm6XIiSouSi1ZwRENNoRk8zAx5PtRb0JvhqfR
FAXIEBkGYSHO0tz2hAdIkpMrae8x4hN/Ah6L7mTldXyM7CZx1xo8imOOWheRsXFvZB1OH57eq07q
H9U5eIrjQhoXp9s3RsZ9KRr2cZd/x6xRr/5bnP9PivOM6Avj3xUWJA/sE2ip1xX5Hwf9LCoYv3mO
YXouRQWXMsFrGhjlAYFjhoqDbfCfLJf/LCo4v+nS4KLrFA8sjyb8r6KCrf9GrZ4yw7lGIfFi/6Ak
b/Dn/LGk4AiLNjR1C5S3RFG9KckbgwDgjG7sOOthdjfoWfcYmDRFoWGMfU4AjxHQrPbp6IbBd0ek
uMyy0du8+tD+pNZuvGWSebwLsHo6HxOfBSqEPxY2hlbXwCAZxbHI/HpXOcHTgIdjgW536ywWSKy8
uWko9uFEo8JmYAF0uu/zVEX7yCEsGJR4c77kv0z/789Baea/1FocjE+2id7WpfhvvcWkNZoFldHT
i6OJhZrnPbl6er8YKPndr3mX6PfZ1B/qsu2AVsloAbdc9wylbAzPJLRZe6TF624Jvuj3luMEnCAH
Z+QvWH51lEAu3JE91iBJKenCrYeRZlO6zUEb28NoGsFJC6d3f/MhI+N4+1VDfpP1LS4oT5qw/lA9
qklohpLVFEfdX/Qry0UZ7EUgGStKwlYFC8sMoOW3RCEcjMreY0om4orxdKqr3lQ8x6Vr3hGQ8SEw
dX/7N+/trdaCC8DhQrdsQaHMc+X1/rqyxQgKZCPPzY9dOD5KPcEIWfGIBWbehyhesPTgfZyt+pPj
990JTG2+Msf6SL1oWltButzl2l1I7+Pv3te/XJjC4EfIu7KFTzvIkZ/pq4pbQqGnMmnsH2xQdR0j
o5aOsdHRZvK+jOKae/5qjiAaLwbdDDMc3wM6LoES1wTpOgscySH6mwvTkV/TGfR3/Pp//+vA63J0
CzaVQ6QA/JW3RcC5NfQlDCbAm4kxkg4QaFeiyRnu97QbCmPNEzKT1LTCh3rMkufCENvZAe3HaG68
y5thWulBNd0WdslY7QAvZpgy+zRbFKLoEn1oALC6Q9DcLFa2MPID28ZJ7WcBTOpaDDpAMHtXGElz
A5868SSeRYJaFpLXIRSA7vEmazsE8wvZAVRbiIxEKlGSiukOKK/bo2OVnyJJnwGChaQOII2lgYMZ
G21Xls182yD5mEHvJbW51eH+bCa3GjYSD7/qJOtG+A2gY9LXV2MxYgcDifPvr0TTBqj4Lx+wYbCe
370OydGW18Sr7xzChAdlr+sP5kjakZmXt1ZIlljh+1hiLQJ56pDiYQ3nbwqmW8bmlqslLYp7MKmY
0CBoA+FIN4WhkRY6NN8YTpl3c80HNPdfSSrib5+xCKfBElxFgfulqhNiBePZ5/M1N9yVcLG5WvUp
6EiLiDx/nU0mhZrAdE+jad+nnvnszxGRZK2r32oNEzWXwkbGY9LfD75g9DeaxbZFh3CnJlnk32L0
x5NS0r8mnurKbYtHvsb+lhzF6QDq3Hge7GJ+QHuEmqW/L7rc2CvI8NL2a7rp0Z2fVPVqnMF9cfEs
JH8AZCmztQObbl/pTrM2DNnhLuHGRmFZHKsiOdr2kt50fpXemM7L3JvFZpqM8IZysL5blj474iXd
6Axj7Phxx2vdbNJDNLf2tRjDTXKdGmV3LTzefVdn8Q2I2XWO0uMhTz7MWtsfeLQxnG4s81XRDASe
Qm3X5vkWnOa9x4jGZqhIXjbMwr8eo7oBeVO6p0yfoBCXlXHkwQ5dRGfMlQiJ8soASQ7ADG9jH4Ow
JDXgpJFKd91mFVyu3iICKPgdHv87ryo9In/4jkQWAWCOLGMjrRg7FG+fHBDLJ/A82QoFunOdQIG0
cu0Wq0WxdbXMveapeqQSHz9QH7kCQmVdR0YaPwTaED+ADKIpqNd0S5CKalptPNEfDLgze1Q0JgJ7
TRFeOxi/bmuvmG/hWo4bE3IWo6nztcmAjY2tvH7w6VEdYdlAGqi6z3EXFtftZECG9Pt23bs21m2H
nGOXvHGLcKpNooX51kOsxotkyTU0GLy1s87A7RjdEpoXUNtHP0tuDrdZb3pMxoIBRMeI7yY9CncJ
XbT10iMeKMT/Z+88shxXtiw7lZoA/gJgkF1q7XQdHh0sDwWtDXL0uQ3xf0a+l6qqXx0sgs5gUIDA
tXvPObuhxRph8WeIp99Bh63iOImP9dR9jk093TtSfe69zN/8ND3PnRQU/6N4svRaeyBDmnqDPWHp
L6Sg8CEbpf8wYREn2ABaJqvCLvTdh2VjI28/+h75esvu7Bfe7z+kjJ4BxQxA6dR9URID1J0rYo3N
cr4sDxa+HpPvVVhbPycJnlz2nulVyyRDbbJcxWk4KNyW3anmZNoIsrWtBnideoSlF6yNB2KgYd7B
MIQoZ5pp+JwWEel4KfpiTjDa07LRE/sUgSS+6eoRkUewL7w1OvbV1W2Fc182kqXuifD778te3njz
jbe3GSkcTzhYq1UPqft52Yx98OHNbgFbTQmyiJKAsJXoQDSkBWeFoNZ5rKu7nw1yBRREPoNQ3XKB
nS9aVeDeEv6bQZeAXkA7PAvcJcCx3yrGTYfIdqcDC025Kh00BIBtyfH0W+3WtWm36mazXI9MOT48
0u9i58cQp/GrnDiI9b5dW5n9BqcTEGeZu0fDopva1Rb8D3P8npWdf2+8VeaaX71c9Pce+mo3vXWO
PFtOt3cj8NpqalAUhFvBD0FARsRTgtADFntyHPldbDWkIiR4ZUc7sxnh0nrHu2NfOgLPmTXCgU0t
ki1Cd4bW6zH78OuBbkGekpE1oEyjE2kc9Sr+ZXJq2/l4UjlzEQqRDZwnGtNz1saeCDJGVqKApjoG
j1GWf6VLy9qRk+8hRzNTNJ13KzUZEXA+IEftFQExsSCQma+JZIbOqauGo1EQQTS8BKMG8Tf0QYrZ
UYCdG41ilvnRFt75NYtiGu/q08wIRTnORbMybFMcCZxjdJq8210n7zp8k6SuSCdU56c588TLxLHc
tF88XavARvm3XMwDUGq/WBve+LyIWMA0Yluy93PGvZTuCC3FWDFWHb9arTXvrLi9dSZLYRAwx9JB
bWvNPrlcFeoJC9R95Hn1wRARODi/+Aiz+dmBKHeJQ8g1RSHKfcpkWR8Hf6v7sUaC7DrC5r32IyM/
8/3dYXQMZxm6d3g14yolzXxbT4CnvMg92FnJKI2WUEcpvC9o0K0sL3AoNMS0mxlgb8YYE4sWwcBq
NOObrhUN9Wq3rRJkgUPRleekZw46xpBkR2GcZeQNF/RLwijmm9H1APcS7X0m/dLPrc1gRtOB/PX0
QLvmNquoQRZkCgWvWq5adJqHaQeE6Z3hD+XKGLzoIl0DlLKf03DaWMD1VhyO2hscAg94Cu2arndx
oYfz3asfGzsxyMuIQ6Jsx4r/HmkwuaZcWPv57I0kgqF2VhcCI3vQc885geW+xkkC4SPCAV/n9qny
cipwAiVXE7mkl0jVAbm2YwCPWzC07NPcIi/Q6WKX33WvTDc6mXAH0VXXOjPLm+7/jAbaI0EgvlDU
2MfUhsWljHm1Dr5Ak/6D0Qn3ZAMK2hZObqvwlOHQuWi2HAv2ERAbLseeagmbqbvX5djcGxWk0heO
9YlCtPqI3eitTwf7JNrGWw9WRe4gMMO1Uk4frY6QnS44NQ4SLA8SDKF/fXrUa+dW9xCLIECAckcS
2RJXnDp3A6IP8baM0KuS8GeEL9JFz+ImSbLy3KA5Li9ek2H7WHX+tUQUfNLrmDh7QuvWsov1q5+n
RLjkxi7yX/qeWXCcIycTcuTq71kEocUJE+9Ju8pUBbzzyWoNMuIEvSxEw/yMms3b+GQp7Upq1Lrr
kaeI+iFr+uYAQAx7X3Us+6qnsfizsYvyOpTesJmD5lc1e2I1hFzAE7ta58TxGkmt7RYKV1YKAbKY
7FSLL2/tG5g0nZDuXJS67qZtORV2wfhu9pVYRygY9imZ2tBCSu1ogp5enkMGmEeLwqj3HEFH0Ql7
5c+JYH0bSrKCiU4aUrggISIhziv+bsicCw3ALfkq2gWIUEbOsU3cXQv9eqjMjZTrOHF+ZnjM72Ay
TMC5RxP8wL5BX5tZk3fqqs4kE8OD7E2vYtWTh9b65GN3A9FBtYfVpqnPw7Bxy0i8NEhhvZApL2SK
92Aeqp2M/RezQ/8QzzSIB+K3eTkCYGbR7DzHS167Sf9FzxiY5+QmTw1BSV07ic++12ZUEXm1MzSJ
6kbrB7xIfXXOiE97yWx+uhJEORHgyc1pXWpTgeZfi8Z0s+x2HRpFrix8xL13jiTXqN5Ox+cuz4+p
5m/7enCuXhEN58qx+1U2OcGVMtXcMCvNvxhRcCewu/8p3PZI7+HqNdW4Ni0/XTd54ZxNMt8II+8Q
xPfmaWQZt9wTD4Nzhp2NcmQWKXOauELrrh5bLf+qq85ND+TRynHzZwWM+KYLq02np9UanOZwdtwp
JH2LZZLVmOxqwQ/fMMnbGyp9F9v5V1gA2rkP4/Cy3Fo2LgnGm0F3O0ZZpYZ6WleIiiQno623TstD
QHSexhp+zzj7v1xpxpten26anWAB0hzz96bI+Pbqvg4IvQJW4bL8moh9Tza2XmYP3hx/6ASD7zT9
Bmi1fLTq+5g5zl2zufqUQfWkZ6Z9qOngrLR+qp6W+zp7bAgn7L19WwmNUloztuQVNk8lVCtPyvq+
7AWGaZwcj1TPZTc82AX5mBzGaPadPN46HqRtDhkUYAh9H6c0Ltdphm4mouu7aui2HGtBzNnoGONN
H+SFIKr6mUkxAXPiCfVtSC+4zg+WxctpGqO+eH76agSDC9IHFqwF6NvSK1wmYWQ8ydTQnyLHWFst
LzCgKb8rBwblsRluaU0h4+nUz8crtmblHlhulBeP8y9yK5u0Mk17MFpfP02zrp8GqMeMB9W+WyEQ
dZlgb7zSWcGims8aRvK1mQMgbmminSwtfBKd1+xnQUASmWXDqaewI5N0hifDpsw8JLV/9qMJKLcX
jvMWcRhn3m5yfjK/RH9hHAiWQgtZ249ZRV8chWF5pi7vV3OKmyyvfGzPDcgdBor7sa1vZjCHOzO2
v2gMzyjD9GJD3XAkTzTZkvSLBCLML2aXfWlK5xupKOFZy5qD7icOzxZfevLY+WLDR31Ibv4c35qG
5Yg0X6jwDonREVbMS50Mi+fO0fAMIrtIrgKePQD9ncavdRZhsjCTdzLRGKfqAgFA/OIULL0acRTU
aH3gWEA+y5ifoP+d7K5PFxrX4PWvxNNDpp0/ct2ZN04Rw8d6iaogXvUyKfcEYLMC9KCjDO20Ntrh
kFjykeLkPVJXmMwa9gR2QzipNxXsRyMh7P+Id+KODT3YS2i4utmGK0OlqgVDWXCuCC+aNR1JXEWF
jIil1T/L7ok6P9gG9YQPe6SqMVCRHRNiUdd2Px4AzqT7rNeMQ+bwm6oNYOl62ax1r/tpaW63c+z0
c0znCgmk926WjjwSSIOkhTi3MHOOtNqI8QJmTE/p5KrT5bKBLek0kXMwEv9nO/M+k67d17iHDE/q
W8uyH514xP3QpGuzJAlfKyqPfFl9N/QeHiGhacwjTAIYtSdNgFUt695FjJh9G/2OIl61dwBt1an3
ppu+tkXtFq/qdvQ3zjQjxVN61zJOcdskEfGpLIfK3PgV8FFXQ1BsZo3rtmZQCMCM/wQRmlT5vdLz
mkQmwv1VB7moZvmDE8cDpyHEaPjMHjwttAkscuuDyMtfA+78dZCAVTFG334LHXHza5LiY+nTAXXQ
A2SoznU/Eq+OX30hvSc7xRVLYAtIzzryIbGaNWTkunJJwFbVV9F8jYuyeucruWpZ8NbUfQxRuP50
OhgEQO/nfTvYJNL3WUBkbqqvgE89sWhPz2juFWZV0DBzRXTTMn+DJrC5Sfiqu1ZCjOT0U8DzPCdT
722h/lU7L6iajWmIBglfEB1kphEApxM7feuquNy3blVB56FjiGgz71KH0azrsih3THKEJvIfYA3B
XDdZLL3qhtQvqKUqQvgkieZFzYdo/jN6qAILsLGzpl4b5I4f0XR9LWgcASFrVc5UtOO8x/nL1h+Q
ybv3iAZ1oTl39OaQufTPSh9qzC2udU4yH0uyXnytqaX2ae896rNznQMzXpPuZu89I0Jm3/toKAZE
btnLQFP5oMVJj/ovqB/KOn52rXSjzQEyNqyx68SmnxTovrv1UlrKSZlv3G52zlbKr/+IzLPeGb0r
N8t1gzxxRHy2OFIoXMo0HDZpy6vPwLR5zhC8lknBXHZ6c33SnADAYgmcuppGdVOCV0sKMgTTR0Nj
4FqMCJQUDNioZpI2B7BVLd42Em5RCIb1A1y5W6rl1ToCmxOnEzVtrAcBy6L6MLQA2IKCBCl6E4NM
UdSW87CBVyxOcFW5buZuuQvc+XWRw6jW9bxebv5ORGkD0A6y+up1qPpH/aUs/B0yAwsYKWigU5Vn
5imqWFNWrrXJ6m+whL+RduedZmrAYtWbtnda9gsT0kEUR8dFq7NId5q/xihYkOP+GbPwX/05UFPP
/yD0cf12Nw3Rs2cWewP0ed07H25ad+vWykxnC8Jkl09Fip8qJ6paPYDO1Gkmm4GryQQ1o8k2SyzH
sukTbMnTD8CQR0FuO8XaJci6+JhpOaXXQ1cxreni/rEgPjzF3XACLZOtsyr/nHKMmppoPQ77TjvN
5kOb+x0rTc3buinqOgMV4S4k9PEpqAEHEEyS74whfHRVxlL+HLv9a6N7Yv8nuAaqEzS6xjxPxrwR
yKEH97lrGKv4vfeuj3n54pMj/jK75KCF44psTwikqG4G4U23aIrrjQ1vbZOWFYqSjHDRPjsFeqQf
QoLr+eI6OhkTpCsrICZkljly4FHLTx55XjRXreeRExe2ipNfzj/4sl1O2Zp9JNvSw2cDAjiupi/m
IP3bABp2nwG2YaG4hj3G1RgyLCvAydr0pUdbN6Oz0mVh+WAn7dUry+JcQz/xOZJxSxQ+j0KRLUYS
Q/V2a3pz+sXJAeQEBc0GFHZYLZmXXdKsuAmj1N4q3xt2LjXCMZNhj3DfR9luz/L7mEZ7d5b7fpbW
s+tG5Z6fQHEIoqh4K4vgXKBw/ewCuneWZ/S3MY+yG5doFkoEWVcU459hRY8HdVPpjtZHH0aPZGFB
CouGTS8bMgE05yELRH8plFmkwZpUW63zLS9QfVuS5GRXp5FOrCR8ZQY6fUeTlwW1uylJvz2a2kAK
bU7EPpnZMygETh0TSRZcW2RLa27elNWQ7PV63NPiwFlfwAQh2c25hXWY0Q8sjY3mdNrFbbQQfR/C
Xxb7vwTRLywonaNTi2QVusVDavTGC802AnTwEWe5P51tVnCTKKPnBvDXVu25NeO4LpfuTTLjXY35
rB0aqyNheipeItYI66RjFRw2OcnyuAL2li6RP08J+eKl9jiG1ymxXZA+gHx0zfneeO10tL8WI8yh
LkYUgH49thF9VaLig8GkfRwS+B1N1bvXocmvXlLEFyPzM8aD45npZHnknHntjaR7NHPnE6vkOrIy
pGx0fO+JDuXUjLhIGaO3qp3uqWu5GLehDtnGm3+0dd4fiNNF701zFaFDVOwcnQFuA/wgaQjAdce4
vQoPV4PSvTjaTHZOSlw50rKPKJKU6ENj3Ja2FJ64PWMj58nQP2thkfVdllzCpPfFqXBqRVUkTlk8
Ey1f4Z8wTY6xEYVSGs5vMY6CgzkNz3xbk4pIZw2U9jMEic5aud6E0JtAwH0aYlozOMA4RcC4TPz1
nNIdJk4XpqBo3nGZQplkjFRPUNH7TF5oc9qgYT/cLn8o7LZ5jOaiowMdyquGMxlQJ8Xk0I57e/qY
/OHmF75+CVMU73y8pykuvmSzNwDcdM6JmTi3YkIPTkztvauDixuRtSwGBwPVyMgmnZwHH/Q6keLO
CtZE+zDT2g6xPmysAWvFXNZAKePuaXbANXn2j1qMsJHMZDOEGsV2Yk3bVhRqpS7pTGoe9XG+7Qbh
7h3HDjfjIL+jyI/OBDAAhOrH8kBIfiOxpJVjd41qcNtZSCdNm69DjWlVTA04laqKtkvnoM1zZaRG
8u+HJAq7Q3HsU1zfsUcI7JTycViWdYtzz/1oXidOynYgMW/06Db79DkczfgG5ME8pxJzRG0tejOb
WKSqJCp6bfisIn3iAQ6aFe+iiYVnRENv6Dp9P7cs/2kVV++c7anCdeDyIimALh+nOD51BGreHI1Z
M0VS66z0JtAfYnT0RC7L8R61nA5FI7VL0mg8qRneB5tmANqWq2cFxqEjeJh8EFaJIVOJNQY0uaKw
dc5RiZC0K/3XYfTrfW02aPebQry61oRbBOu0UUl7gw/Q75moJCZoyORnLzIERDDBTkX3hNC++9JP
+pdOcoV1C0LlIyDmdLItA6TCHB3DDmNgxHye2JXp0UB1vS9JE4IpoINvHpkBVxR+ibQuc1i5R38s
3ywjiS52iwFjKkwfKkUgIA9hC7AnLX30eArAzuO8MkUCpZ2czRmN3egeYtb/51ZJd2wfhWJJzRhI
Gkdpb8o9K9z6auOjO40RXVO7NK5x5LzpudXBCBBvjCqwcBdl3cItoLQwGga+ptfSXyI3YWMiNFr7
0wAhFJjIlqsDtmgAlzROAgwmXHpPlooIq6y031vxdDEoKC5CbWKTM3ITdudgoCKsdA8TDWOpU+ww
bK5i42XIM7nHVhNvtPq84OxDURjrdgDkHCCpbbugehHQBh40eE2297GQIlqoci8zTX85pB+xDufR
zXB22R1um8HQWSImwYlPBOAZ60Q5VfatrmfmeZ5MsZfm+TnPrPwckdm8LprQWoN1LM6jBiOiyMer
hrx8HZFEAQraIRXdDOOfDj4HEBO2dULt7h19+UaYJ5MDI8HJ5GIQXzlc2Gm3mtxssnA+xWlVIUtk
Zeu0nDB4geOpgFiNG78FENGHzSFzE5I6TS3sUX5SPQ110Byqrq03QW+PqxItBTAcri+zGZCdbclq
uEW2Z+wSTLa0WOWrCU/yUCD2QlCm8K0LjDkkGNvnlJy27kNTNy0hF2yW007GLxgdSnpwxweGAtTq
tfSKm6vG1NZotFcbbnRoRwcv4Qy/kJunyUhhmiPvcWOoTiWL7kIOzgEKBbNRv9/0TcZ9QXF1yh61
dZLtMZF55wbYB/FEaXaMgM6lfRQxZXVZgfritcDBc5OWrm81K0i4cofOdZCEiBN8fk1RrfltkZ/9
IY2ONcb+A+e9eSuICKYZm7f7rJw/I2C5rJBz/5mkuGshG/0jEHMB6cMptvps3LuWhX+edxUalHRc
t3Fd7K2mBMWhZ18Hw4zIufbPVWEXamruvvko8aj3T0SghC+NNM7xME7n0CYTJ0rcDmqY931CXbcn
w2fYapF5BrvdfBCdvZkdIrwbStKbUYXBFUwxMRJwoi0aKKeeUs9wS+NbOtRE3+ZMDyhCIbvTCe20
htmmSWdn3wsTjE/d+i8JseJ+JNcDtetlzOgn9NBJDKOpH2q9fKBFj+/FrD7HXv9ph913uyzKQ+C3
00tFe5rWwktcifgwSJpLy/GwHBlA0/YWJce2gq1A2kce4HzFL83BzRHfpq9Wg+zeo52xbxXCu2Bl
OkW4GHWBmbemVcYc6msfSWMNQZWpqVk0lzABSJqDociIktz2rN12dLZY9jHuXHdx+9SnuXWsgfIp
8kOKya4c3wrf/qm1M3dlmU5omjRfyf73N8VszvvlJAxdD2IFELK9PcrvA7KUa960OpC8utxMBZPN
JjG1fae59hWT6FtUlvKl0H3rGgnzLa0fHeb/z05qxy9+Y9ChxhEKXM5HJqC8BtYSSIV4g8uX2ghk
Tb9vLeFSyy5BSsisYiwLEHq5JMSJfxSWj6MhVb6hZVMUwzs0rAyucrxf9JqdixVqpSt56e+bKWNt
JUWm2fxfS51/C0hLSQOcn3zyO9aZ6Gq0rgxClV9juV3EDonvjcDRYWoYnZQwe0lVWjb+os526rMh
a/3YYg1JlUfktxL2j4B3uWUoX4nmO+/J4jrpF6fTcnOJjVpSmjH6M4xUThXmyijuuWiBgmOz7P7Z
2MrvUivny5IGvTzB8oS/n0r5p5ZbDfaZWflo8sVSQ4RUsLWx2Sx/TJf7lidIF0PO8hL+9oSp8vAg
ZnxbQp7LxeCjJXh9fu8v1h/lBBoQZWyKXkAtyAqM/8qF9Ed6/Wc3iDQK1VBSK/GIP/cnysb0t/v+
7P55nGDMk0JX/5eoOwttImG9oqO05xkitfn9zS37mlbxVcZteOLg1xlcYrIKrMY6ZZgqxBo/G4IM
P90Pg+fTOnxeHqBZ34hQqI6jO1bteYnzXp7XXUxYy81FY778ZbmlUoa2eiK//7lruZ8QyOK03Gp9
ryUToTz+ebrl/t/PWY40/izlTFukw3TwyDdrCfhcbi2b5Q+d8reBLrHWcfXsK+ebVB64SbnhfOWL
y5REn7qIcBk8c8vXHC3H2J+vNUt3vfpRLb8kolLq07Lp1S3LwXhdz3G01ZSjjxie8WTSnqepx+6f
zXJfHs2sDLEAJosZUCpf4PJGlhCyZQOSE9Nf2ozIRTAV+pgLMWkiIFN+Q3QuzUrpmsCACAyJrkO0
1BTT7vMxK3qYFgE1odjyXggTb1aMm/eJ8jcGGB3hlQALjl6NongSKS3YYdxOjPJXtM611YxZUmun
PQWaefawUcbKTzkpZyWjw9csNh9yM/F2JuZLT7kwGYS/EkCwF7lUk0UcF1pRvnuTOPZFa60L5eZs
sXUCBGGpVCPUC0En0AV9M2v7QSovaIgpNJpVszkOLoHyi7q8wNWwcrGR0otjVs5gdIUADMoF3wxP
qJyngG2UB5Xu/4Qr1aFzR4RwjqgFx2qAdTWw8LCK7jqq2XAnQcJictUxu1pTG6zp1vWyZkaKqchu
u3fMC3c6ZntCFQwcoxDVvO+V/S6Vm7aUPsmx6XfO1huGgLyfEO+JcuAmWHFnLLkawN8TnOGtp9y6
YWW/moP7qel7vc2T9eiCWFP+3sl3iaRSnt9AuX/ziQlOZLJY4DIeE2ceKadwrDzDWkBStK5cxNiJ
67jOWHoQBmKY4xGQ2GPC5KbPWVsGwT32mCcCldhHyqXsKr+yvxHKvcw0h4aMcjQPNFAt5XFGjwJD
VfmeyeqAiemsDMEn17ISgwHQYyTFX8dcIdpVykFdYKUunT1UgWgllMe6wmwNafgxlrdCebDxM0Lq
6wDfUddgSCZaY95lLbmnlF8MAnFyk462D5S3e1Qub0v5vU2M3z4G8GlxgjtQctFGPNGiuvLe21U1
YUxHTJXg5uHTU57yxMZdXjnFG7/OX4bcyJk+aUIWiCrwj1bIwWUY5iGY8aq3mNZn5V53sLGzgGj5
yZqY2zm2iVorQpBNNLhGaCXV+6Tc8FUZf4urYVqhid6gkAy2BG2Q9ICJfnLtHwGmens4Vcpj3yi3
fad894Fy4BvKi9+M1sFS6DbI6MlOVzg3qcBupkK8QW+ZyMwH+1YoAFyjUHBJCDnFUni4EU4cMcPF
GRAPagDFlZsXnBxcuVkB5pa7gJ4Q4z9g6VcYOnsESNdCpjMVoi6fpXt0FbYuUQC7mSiYY6igdlpH
NoVQoDvmigg6Yd+NqIuPPovEVanAeNBoCM5QsDxLYfMC3kGrQHqWQupFIHjKBsieNhEzQQ9n3vkK
wVcrGJ9gjEZnou1fRoXq62H2caHoX5aNHE+jwvol5SVWmL8E3l+twH8QIYcX14JrA6VgrSXzzywm
59+Mh/geC80jyAPrfWByrsr8g+vO6meixU9h5J4iS1xKBrNeb/fneraZEchOI1nhSUjhPo1GvJuy
ub8TB/lcF833SM99/kR+zEh82INjyYaFujEcPSMFVhQ0iG1KY9yAhKy2ud/sS6sVN0wn+74s5Bnh
9ydt5nSX0Eak7zfGlIvWcHGTt7xKPKr/odkG7chRMLwg9JArsx+GleH5lE4VZWGmX2vSjK62OVkQ
EJArjugadg5URn7JCewg4NW0/d11HEbGxTKsx7qHEKQ54bilXUWwnfYuxt65CuldSCbID/Ncx5s8
V5hO2qbktkilVs+jLfrwn1NmPqOsiJ4l7fkokPmrM5AX0/pg1xzOK+l7bkzDJfCn6ppoYAyV6qZu
6ErGULPDuTn0Dv/9/6wsNpSV4i/CbQ/VlSts3ByGAyH+b1aLuTcTP3ZFdUgNLz0MPUNvmQf4zCP3
1UO0+DzmbQMhjoQHJe4YHRn/Ly/B/E9uD8/zOKHqhm3oDALF3+TsfhDJjmTT6pBryJ2CznxwQ84A
2hCBj068j8ykPkcQUO2wiEc3ywfeZOagU6qyX7c1oRM5jcOzEpvqvQH/3AtfJMPlI8tV/aZUoEs3
6n/+4EwluP7bB+e5REc6Djp8C9X7XwXZuBkykZQjH5wvnW1mG94x7IObIWZk72Vm4QIECDL2xrF3
pmjPsin9mEnCttJv8TBdAszfn+O2Mrzom2PqbyXNHJo/9k8EKrbF+YsSmG7MvS3JL8KCOP+ONv3v
rST/ydzAp+6buAg83+FtLILz/yAon9oEz4zhlJzqCkp3i/CdWLa8CbthyDbpR1QZxRrJE77WzP3S
OzGnB+uaSF9uS7O0tmj7L4P3zU6T5jA73hdfdUDqpPrgl3dPxqraj1U5rNs8AryXWDdLZt3/z5b7
+X9nAXPU8fjfZ8vd6MJG/2fzmZbyL8Gsplj+4T9tYL7zDyxOPhmqhoWNBDfJv2fLGbr1j+XYwPej
/E+KtvQvGxiwJSxg0I44X+jMWfGC/DOZ1bL/QVyrLlwcCkygdGH8P9nAXPFXv5NFMqwlXEeYvEKy
iQ3xNwcOrqGqdahzL4JUSZa/yyaTsZjXUszMjVygmCpzX1MTxz5Vzug/+8udUkdE0WuF83tRRoe6
mJl849u1ENsv4fdZw4iWY16sbKtD2ZIheklXrrIhN2C/d2OkPSzUomXDaoosqlj0rDLAsipHLA55
xgnLKmTZt83gLMaaRmqYhwgKhxU9o6eiN8nRivI3wOZfo0k8YW7TDwUTrsqYT2mJ5mgy7GPQP1DG
jJsiIZLSqavXNpxfcn3oLmSzHjVgeX4a6ysWM9UuiTxU/iE6/NDyHoc4OVtBRGTeLMigqcpzDc14
E/DtbceA/GXDyDchvLU1puae/kX9XZQsB0zHvVfC+VJ76VNbh4+TLt+RM7sb064r3mGy7T06wm5O
coiGJInMzuBCyiuYytj/BcM4J6mZDAFKERl7BgNJefU7cAf5cGXepjEfsN/rfHqw0+LREPFXmysr
GmfSEHCcFmaQHZAnOLoGxL77ypQ/XAnLHDZjCJRzBJejnlBG7TuSZZrCIEZGwl9tEtFWKd20Vatg
3nlc+XvXpotN/UbiWPFUaqUBABDdNgWzlWBpkMXXigspKQ8haaEO12FhzDTcmo+KEE1IdM9Y2O9e
S6RPZBDJQ4UZDgksbOfqs5Tz08RcufWjieJNaxuC8qBSjxVSxIZiOqx/1FLQXxXFD4JyRtAyWKOD
beYUR0lq0DC03z0BrDGHRhimdI6K7dwy7W3tUxfGlKHVTuixirhhRuU6x0a3RiJRIxpchR1sS6v+
xbTDJ9pznvdRRws4fPSxv2WSXOKMbyurXvIe/7osJmMVRfYvQgHWdsIkSYa0yF1JFOqAvXfmTWuJ
vWHezGfpdhx4TfQ1HkjNdd1y2jWmFDu3JBosAyI++N8qwihAkDcPRfFl0AW95irGWcPxwES3fDbe
U5OPisU/+YKWs9P74CJGf6eOp0ovD6XuPYYGKqVMb2kNztk9zo7FoNE8pnLLnZPmOg9mP7VrMSOM
tGKikErqwjadfmC9uCGQAcQpk4fOA1MpU1Tgnc2/NPLHZkSMV+vpGxEd7+QV3mTnsJRkiR3GDMyH
nEw1rTJ/WFK/a93JlUaBtogsh8pLDrYwWRphN+SAMHZeVb3ag/Ojo2+3SdWgvUdPH5FT5+kI1LnO
Hf15fBAe3YxyKOsNXXKyHxAr1I676lrrjilG8WaDm42aIw/T99ovhnWXHhrBOpt4rL3Bqqrx5MuQ
EoKY+fnWKjiSHVMCL3Syt0qG3go3kaM1m6xMhjURyofmeeg9vmTXXVkhlu/JvtozKcQId0iOs8NH
OQpk+PqZxjTStge9MOm40splTT794j/4yGPrrkWAltIm/sYy+EitSmncPAdOQogYqomWzrunaUgZ
El7vsUItvRNBconr8Cmih0hIe88AuVTvp7VDviiTtbKw6ICbFuIq2xabfEL8lxbJQ2t4MHrrX4nU
DqF/K/zmhT76EyTcdC0NftN9Iu5ddM0IrFkRT/DoiPhtAFmmkVnA5KA7DiqhSi+Hu0lR5Hb7jKsE
h1fytRdIQvLW+dUyc0EOkTLu1Mazk+nPPrFSK9OGEuvK4adu3yikD2PoPbRZ/DMwRmNVZcOTFE3E
i5QvRim6lTWZhLbNRbSNWmfrzVxSmLA+91H/vRXlk171X8eKF8kE4GaZiPElSire+YZM1HvkF4zK
oYIy6v3UxubVQDfQm9ZrSScXS4NHwj2qu6Ikc1N/CrgIuP30C9/XyzDUTLSSX2NYnGlg7zSzkogd
uZpISbwd0X5u7G/gdEiW/qQT1NXWLG9aHTu8QUrernjVeXr83clWD8B3pkI/ZCq7Ouj29bz2vzNX
+mV20R0z5Pd5ssbtGHk8ScyanpSALVLXfD3PaEQA9N3i3jqHWXFIE+s9iPWfbmCeytLSttFsdeSB
uZfA7Hf+OJzdiYS9Pp/vTI/Oo94g9+trXlO11vORZMjsE/kMxu0nPUizdS4vaPHHNL//G3vnseS4
smXZf+k5yqDFoCcECarQGSIjJ7CIFNBaOICvrwXnfZf5sm+Vdc1rkDQAVJEghPs5e69tFmHFPlO4
D9bWrh28U1LRoeq1fZ6Xj/mY/4xS43axyeXzxunDNSZ1607VA0Q/P1nPrmlpAmCi6UaL45+ISHaj
QBcUrqWl1CP0eM63hgJ4OwXr13mHho4gnt1xi/IdyLjh3Lll+H2kmYrqtSZaePns9eh1mpi5urNf
jWlBt7gxDolNoR0L49cyhKdJyC3hZO58nBqj8h1nPFI/upmU7GGGhr1CxC2Hi3yphNvYFnvVWp60
YkCJDe+1AsRMr4rPzcxbQEjuNu2pxMJ7qIUWNJbzNk1EpK5Hu6dDPu/c0NjC3ghoe79HIon8qDM+
C6N9HDG/Rkm694qvJbogZ55+elNPEqRzmwvjpdasL+QpYZCdhvfUCfs9+oFTtxgQs23qkEr3BLcH
sZ9Qjr130AiC8KepejQq/clc4rPr9cCBSO/VKYp4LWaItWsNyXFyy2ev8YKuzj5MoWN3S9LXeuFA
VFH/1zadYZq/W8equd4hQ1IqZ+U7VgBdFlVgN+e4QTLktyFlx2FZkA3noCAFWe+qxfZa5cgtwzm8
YUjhiwrQOdIbLirtPirzg12vTVHzBNoXinCyvHhTcW4xevCLvyca5op0sX/QnN8jO0alKpRPD0qt
X1vol2Lq3eBs+5yZNTT2bz01yn1Vp5hB6IllwvVVNUOSSrmEFkupnxNL3w4DjIE6KZ8h7GN3LZoP
w8SrPHPJadvmpzF3WeA2L0aG0zytBUrSPL+pV0JjWCmcDsZLNXK6IrF7BcJh1e5LMtIKM5zwDfRp
vLPi9l1383tyo+ttVKVPdhH+LEsC5xSP4ZOTksQ+vxG4eKKQjw5UTbje0OMyiunTqAmrhal+Vxuf
1AY3psifNa82Ns57wRQXvlOkjeiWc66Ihdk9u6aZ+nmhvikK6E9j5EgIyZ0ckcRzYXXfmJrZDH6c
DW1u2DC9OJk4RDbDQOZ2BdMfP9wXza2/W96D4anfhOX+6OKK06cTN1kHTcAz09s5ppVTVS+hR5Eb
V9IDylIVmArtJSPGhUBO70bFPqmsHefJje51OFFmfsSTyfgoi95zI/vEuPzRZMtdbKRP1JpxBKu3
zmyTJ1zAA+ighKIYaJeKAxGhNFbY6XUuvZ6DrPmyuMY3xF7nygJDpeX5lwHvCaJjAyBvWPmJEhSp
eBBV9GZV07wrs/hsNQbX3RU1TVdXKc1nZY1DV2xcil7abctk+go2Exx9Xz+EDKz5r6AZnu0WXGHK
TSiO7iuLwuZU7D0d51j2o9S0nvjwU1Q43LTc+TvENLxRlJFbp8wDd17wNFhnRuSUoF16WlWwnueN
CCnGgaJFNl1vwji5VT2QXEsMLs8ZHysDAUEKiRYrf/6E+I/v7tFgqxa5X9kIeNKMn22XkqtSouaw
AFtuzK56w5wcBXbzncr+U6o0+obYvo/JFSS6jD9mylA68C9G2p+489BMq+wrhJRPg2LGG4I+Ti3A
6tHsCd4OB6yixX62xI3WhmdIISGpqu23IUI/KagSICUm46nu0vSQJs5XPS3OiCt+xT232FmjG667
ZMq4hx662GrketSQZvpu636Pe7hIailuNTW799Dh0tmwP/scNnHpoEvI1hve5HMfrwbV9SPRdpvE
Lo6urej7WW24/Q9fzMr9pEISM+5191xwkcZRuHfoqahQ/AV+ow3G/+9ccJ6MGM9S+ChqEhYi4Zc9
ZKcqznZVkoJ8pbMr6I77hle1B2zPDJlfJrN8nqOI278fFjThkP1FTDY8DQWHwvGSmmcGBEE7WBY9
+emYuAR7V5Sulti5h/p7r9d1B5e3O/YNFt2+s1E9kW6uDzf0rb/orYh9ZawOw6JvCTv5bkbzU2eA
Q2+H5mEW2qtau+9hnd4oqc31ReUEcyn+2UTO5giWlgVbpFD045hwTgF1/gGB4RHiKJVu8payJbmJ
S65QjfcKtyMKsMylOyNRVcCD5n1rIKvutdfMiXfYXPZNuOo+RHFIHYxo4XMqCKqw83VUaw4bkObc
ABOBzSS5BdQcB4kxkUZRTQdj5hrlwUXdhO+h0PojWbQb5HLlLn5WVFvblg6opG52Q7TLN8ZKgQ4L
58Uw41c3HP1KOHc1+zWqyTeo8p+Dru61BtmmDvB7/JnE4Y9oEV89x/ocUBZFJuNtzz0x/34wa+cX
NPbH0HWnrZNQa8J9gRqDQqpXWb5mfU/18qhp002b3E8a98sorPYuUY6bPNxrBpQUSoucxTloUDFX
u8QmJyGq6mdk+6c+tddAVya1ntq0QMbzj6JhErlgk2LGF7/HLQkgHXxmxOe+p8Q3fQI5dzHQh87x
z9Q1gyF6trjvoW7+TlugOE1m4hzK0NxIcqZ8yGSZQS6SchhtbFtLdnK1AKwc1xzr07I2oEoU0dGa
joz77a9ATS+6j5NGHPsSurtX1z/k+/IJPQ/muGjrSfyn3CjhpmWION2yCaC8bptqfaBHNiEnG4f6
QgiVTNBx1JTZn+Z8osjXfkgUqHwQnGlDW3bjFo8OAGoMbb670Nf357VHTPpEcYooJ3MTVKNvIw6y
nSeBW7aZFgHOxy/jivOyM/deYJYLiJ9fizF4to+WAMu1ds1zZ+6R0yY00f/+36KqR7JkAXeg31ac
ZI6oXKJ8ypfJRa+YCphVegh/AVnN2pv2pMhBQinleqVEJebGfaMpDTdvQX9P/rfyTjFJLVjrPZdF
+WpndhM0+mvP/bIIH3tnl3ZykN83dd3kh906rHtbJv10pamKBOV2ZeWA0NacSblXsp57ftfDRL/u
f/kO+evIbZfDQa7LB2PV3HZDfGjQOfRieJKi8xVgnV2SVa9Hg3ymnQSzT8y8YKjZFfKPREvJ/umj
iqSZte0wW81nP3U7PLHxZf+apTMulH+NoPBCi6OOEkjZHyMDkDhGsm2vz09cYEvQcTwUqe1gc8W9
LqmfKnOgQwSLw95Q2qn+ny/+7W+Qi5TMSxqksX555eXXS2KVMTRCpa2kkdIIqU5Dq1QHuwNY+JTn
WXLZuRPlvmzz21nj6k6IFHLdyX/uQaOJ76pk7ypLFxhxqS27lOQyZSD16LqHIeSedGdNSFuPKrnX
KnV8KFoxBvJvGbGW5PaiojG0RpB6BSe60JXg8tL1tJbvlJ/4X26j9bpsYm43W3kkjClM9qwKqf/w
d+uT7aCH1jfXw2d9AY4gXgAxQtTRfJBH8DRY4jCXcE5xnpQOZalQ6nP+y+9daa1hTPfDK0EyyO+W
Xyn/2iW9dRm6MTSs7PZ4OZLWU1MeSXL1uq1yzN16RbL0xdmFDnlLsZM/OJHCgShfLx+uZ+tvh+hl
UT6/UAY9eGsdZN3Zl7f0tAaU174rg8uvWjZRB7CoPV7PcPnfk2+R2+RqtB6F6jgGgAnZTU4SyOdM
ebDLV1zf/+chKNflryaXLu+R65fFP56Xq39suxy2dWPbf116qoJRlJWbx6juhk0OqYpGkq+i4b7s
H92zBkKQSEaa9SBFj+xaxIjJX1zYurOznfty6R9pEVOudG9oSm8WtdogQ30sXeMg2uFs0cYCobHi
Fc5VNw0bUmF6akSZ2h4MRcVGqIBnn9E4yofKq5DXaK2t0hxmo5NjEWa0h7MJQDex9Xqo+W45Emxi
NzwjX//PiyVuskC49C7zeoFt9TzjvDuL9YHAU+4Ccj3U7cr25eIA9+yQtOpeGJOIAs+yo7N8Ioq4
UdiQV20kwvTUOX3kg0SBXlev2yZjYhfLpy+L8ilXHvbX1/83z18/OZkcCIzkYkw3mFCX4Pr23z7u
sijxpL9tvXz1bxuuf+D1U/5p2/Xb5bOTje0ibMEaG521++PJ6/svX6evN6M/Pn5Zs8rrpH+5fNx1
5/zxut/+1OvHIKqeNgIZ8fb6VYjIDlquvsdlTuyzlEz9tiiFUygoPHww1kV9KNsvkiMpH6QiUS7J
J+RqN2XBEKrK/h8ZlhcWapRBj+4mUnoomqNgk6Kzi8Ltup4Vte1TqGIQKq/7f+oSpQTLa+s2qAzt
UXZmLAnzlMxOlRvczuqY1MiUyhHpNmMxx6BOC17YFU16mi49nUYOIfpsjMCpuTvmy0jwUFTH6k42
dKL1fqQiZKiS0j5IUGeOupj9FenVSa6rq5xRrsLD/VbQO9hJcSNe+L9kjowk9hiwWiqVCU4TdUmC
iKnNStfFe5yCEIUAu3QnV226U/330h/b2lZ1mIUKdFINHaxeE389iKhqT5dtqTrts6IiWW/FcvKC
EdDjPkbcIn/PhDLPSS5pK2P2ui0ROscA8KTNPKflsWs7Rr+WRbQ6/n0W5S8s1+1Wfw2rKtzJ9prs
tiV0RohOWNWo1+7bDBPVZ3ZNxXgd1zV/SyLlL/3HNmMdPzL3+Z7KQfGlA3dZlj/0WFJT6+GOyZ9T
/sTXjpwtb0WXdTm+hAIMgho37zpmwfQMj10uzsWKSZZa0ixpfo4JWnr5C5rKGqZ6/UXlxhT2HAZK
AE4yhxpnQLe3ucpLhai5/rbhaKzy7lUxGs1pGjRF/mKtaepgLyowD1XaH2f7HRtqe5IKxuvDP22j
AoOntUNUrBndSca2yoceiR5VSfAO121zE6GijKgue2pobqWKckk+jcirj9QgLdD041dL2jTl7xTJ
n0guDlxCQj2KA03KTa+/hPxhrr9O3GpMUp159q+aR7kkO6PXbRexcG8TnDBnP+XPIH+gf/qpLvDf
Sq8PmCyRwPH71ASEmXVBrMN6pl1+Innmuelo+fifaInERLKPa0V9BgaVhSWBWLijWpi3Rnm04Nwa
jEJpJmT195BOwk4oIK4l1jl3MVWT5cD6ZdHDH+WrMfNnuQvVdT9e9ve6JFdBBjB3TGiArWdLkhJ7
32Xu21VT6s1IhXx58lzOpcpOjjApKW+7tKbtwgUAya+PFZErQ6xoOsIzB9UPtK3DVBK+UyKEJMKd
Z6UCOoQYsMNG9PqH+vi6KpeqVZEM7YHGAwMIeaTF625QVhW11Av8b2zf81z//L//5wMBbblNur5N
vvf/Bspduar/nbTiPqOLURX/Lqu4vOlfsgrzPxBMao6FIdODYftbZB/aCMQTNjlQjq6iunBRcfwl
qzCc9RlHc2xX+zPw1vgPiJ9cXBFvcJOyUFz8D+i6uqai6/hdu8QGJBq652mr9MPg6/5du9SOmVvC
LWmYmzrnvJp1CIpYVJzM2+Zh/CoIqKinRfFrCrcgd75kLrFY1YAYLyZ5QGJjsDjYfqmYOXUC4M8N
4l01Nc2jFyqwkUxON9MkOAFzwW7Qj7Eok/Ng7JlH4awbQ9MXbf85NSqFwa6iy89MGzf71py1gwf2
IECrgi/dKDwiYKNxm8aTugFR4XC1sF5rC0lr22FmgAtvM5eYnJUQb//2oJg+9kEMlStSz/HwzK7P
66RXlJc3NQLqYlZEACiU7NXLZ/1Uz2Dk5UPU1foJdgJWNYsxg1zNigITOU4sYgH+9WL5hHxI1nfI
pesHECHWbTyr3GkUnNFI/Io7sfiKW6ACUfPiLB9UbaCtsYT2gdgVBCA6nsYO2P1lqa+2BVU6f16y
0Y80pz8SWuWny5Kf8SgxR/A85RH7shNU4Y3pLtp27Jh1uAadxetDSrfEZ7bi+nMW0uoKk9HajpiB
aN3p9RkTyA0lwGXX3RW2RT+709N9iR5lk7bFgy7c79hpuW02i9hhU8OgWuTbOAE0sNJzvNl5DEXa
biGjujCa3fLcVSXGpWiFiSvvg4uG3xjzYCTMA9PmtBxoMNwYLro2ZjZAcKZGJ1tI124nAWxwg96e
3RbZKn7g9KDGc3ZUIFw5EFEI9Rm0+EaZf2HnK29HAhq2/DW3oiuhh5nnNjWGm3Aedmmvf0aCaL1k
Ah5Vqqp+2yisaviqt4ZVGbd1ay10+Lm5JPn4ZaY6M2XefGNPg0cEcKfQV7biW+onHJ39Ag4p94Ag
m3h/oRLemfEaZFG0494QEWoTLRvhGraw/cwG4pHZA2aAQbnRC3GDKsDEtwi/UEwdALbKulHzxN47
7vIqnwP7x94jiqoIAS/IF9gp+SZ6q+w1/uu3M1r9W239q/sO6pmyFp4Tbt/rc6ALjFs7KfDNWs42
VpcXO0rbfb/COuasXG5awX9L2An7w8rpWSjf8d5HwTI32klgacQDOtzawxpK05ncgNPUACxid/+2
TbTvbZzdwewkBSOLi7Oie+oBhFmgQ02iacB0s+PLGdCui3Lj9QEtKe1KCwuTavcgi9a4DZNvTvv5
LNf0CTR9hnSaRq9DlZvwjbVgsWvax8WKXki9xMM7m/q5SjcANtoTniZ9B3TmIccHAP14BsCSK0FG
cJ2RedNpsMDaeH1rbvUmYX5rl4i93Okhi/X+hDpYR9FUfJPlEEFf/1B5NtmIa2LSpZYjF1dMRoux
6QCbOF/877kLZR+BmDjp64PIP0yLX44E8/4Sy4QwgX0xUrnM8ukgA5m8tqFpzYAC3KHW7rgkUG9e
1Q1JvRK0bPq2agXmtG0yony9BssYIjasLnb6PZvGcYf1jCiI9WFePSxySW6b3HGfZrm17zSFCUHo
WttFsw9FT4GyHr1lZ9ZdA8HC+zBaLyfmGteN/JOWIvrQklYD2bbuyQEHbuVS12Z8TgoGQBfK+1Sa
PAeFC7RoeipmCwgLCc7EgY1nL2Y0Q7neN9ayoiNHzuo6AJFJRL1KRopN3Nvq3e3UUqWYTsAAhtJA
taJDUjb7fPDioFBsspPT/sVYZvvUUMYP9IrWa8hOT0a0KgRJdj7qBkEFQy3XdER+xt7wtiKx6S3O
huc73ULmGxTZkdhDK1F+lKsoL6H8P5TWQbGUS/nFltNCWXGSRS1ZqZJLmNYxFCQKzhkF2/M/ldIA
RT/16lAHsjwsq8G2hRzXlzXicFhvXjnqBi9Mcfc7mPqSlG6q0ma0VEvqHAaRG9uoN2YyQ/TvuuOo
OxzFZmAs3SOxDeGpEZ0B3YAm4bvV/YzWoX9TRHO+WdZBq+MjwgM55DkZqJMYTJ9r/wKNR9jc+sq8
wk9MPGl1eTWatnkbhhXBn+mwc4q0PrhCT1A69UE7Hxua2cekEEhauBzihJkVkDnmm54/iWYaj/Lg
v5Y05ep4qbougCS62L3shi6ls6GGy0HuFPkga5TWZN/k+vwpSo0MQWzlJ5MZ0s6qdRKhyGc66QV+
hrSBkaZydGTrAZpZBFbMCwBRHaJm2EDOh7znnZa7yTEoAisaZb5yOLkYQ4VVgbTSFXyiIIF3A5qf
bbgW8xPbHLCToZthopCunmiVoi3RrxgwGQWoY/xFBYMUDAWRb14qMMlPzkAhf9xi4WaHrw9kc3AB
I44FAoRF+cBbgQ/1MR7BQa6T14JozjRLwkNucy+oMUlI9s2VcyOX5LZuGR7VqO0DeXmTD8Z62buu
yrirIlEoDEZOu42riHvrgJp8PfsjqEtMR9dF+QDOzyNDzbEQqPY3aUTnCvUEiow1gE4+9BoULr0L
T/IaVCxc0mN0HWXpUWnR8bnX9rLDGv3tErO1Xm/l3/LH6rJWbiByBvY683c8X0MHcwyzmjocYefE
Irv5W2eZ0IJ6oZ7kQ6fk5rYr2COVCpFVg1iy13vEh4y/0B0p8Vk3FTJJ6olczGcltDOV3j5HZgwh
tdJHziV5bl46RabdFrTEk/5SJxZhoxxri4D1WAvAw77nDZBD3ghDQgSdo3NhbowM5kKX7WXNXjYr
ChlGc+1byGeuT2vFAZAinNB1/nndLJcILKqPzvjNWPXGlNmtgwi51q1rkrUkA/6uq5clw86OhuDS
3hAEsZPbwEhRXpf7sYZFNZ7TBjhLCQLX4H9c6pgPMbWrNyngQxgD3nGsad9GTjHvkrb8CT5UO2mK
oZ2amjKE5nmP82qqzdeqk1ySSW9l0oKJuIa+XV/zT9ucbhI+XbCMBGo+6/pQlMQ80HoFV/Ov7X+8
Xz5hrzE1cmmYGsVXFIPozPXUAzuWiHu52LQ2qAV30tcBu3TWmduBHO4mVPPDZFRcFv++hV5X5dK4
kJC8kU/LdXmbva4WaPuKEQA6OFig3po6XVLx9PXm044zM2p5CxLreWSZLtLSTuDYW9Od5IOrYnri
4BpcSFPCB2o23MiHCdnrduaOvKawkaSq1dMGtL3LHZlLNCly4AzDpQq7A8LIcL/Gbg3NwcSyf7Jr
WIi+XAQ7xjCZiKvq9OdTv70qGVIByaRg6i9fVWIirOrjAilp2clSSreWKK/lTnpW3V/P1JlNDVE+
xawFuKRcXNaGiiZj1OTiLCvD10/ROwsFlTON+Tla21CV7Fxoslty+fDft1w/UtrB5SfKbVOnu8eB
VOG/XeLyObka0/+dL89cFuW3X/4Q+Wa5njSQdXy5fvnG60epadn4umf35dlxZi4Qa3fg+vnXv+Ly
Z1+fvn76/8e2qjinTkP8UcBE6LiEM8KcDHsXWkR7C767NpYDNstn4hMmwG6ClqTW3JmpSh8UuPxm
XMrXNEHdWnn1a0YCFIPZhVBllNp7LXQeumyqvzIV/sUQ/aN3cPct1Ge2QELgx+m8XKvMiLAAq/CT
Ln6ZLOyGQ5qhjoCNZSLp3hQhStqus+ddnnh90EMgMKqEO41LZ2nhjgJbdnxeBAK1oVHf7MpcKPMS
2DI656hMz0qctBukD55PZ2gMzIlZgBi6IFe48dlO0Is52zWMT0lTTlvOhZ4OdleC1W7rfF+X/c/Q
jhNOX8SNsTq+6/jqdrb91U17RDp1SgmS8pnZtgHZG98MJW82YzBCA2Kg7ZIpbCvG0RnsU8HpQjRB
RvGL/ZZ35hmYAqkzSfIeE7R9F8c/xPyZe+E+NcoQRbAyBlEZv/UjzWBAh0ezYUJaVtMpMoy90df3
Wh0BDo6ARnXR8MMOyYdVPWuvh1QkUFwFEbLS3dD2b4jJf1jQ0+21gFHM3Ft5K1nX81M2hYGRBVY7
V5uuBktl5jaOZOMzC/NHj9LE61h8qsO4Gxhy3c8Dqo+WsW6D+R/tzEND8ZEuAMZUllo/FyUzDhMS
SGR/Wzx8qWbpdccqy0e6JWYEiXPqAJD3+zVjYIOoG/MFHbA2NyFxuP2HunTxdmqj127y0nOmZMjG
IHtta6aPu1Ib94oJkWgCjz3BWQwIvYenbrgfKUf6KeVO7SO/XQI1Tp6XSXsJHZ2oL11BR8sAtKB/
VFq2tp/68IR9FeFHjVFdRNoXV7Tm3sirY1w05lNiul/cOr9D28TsPcqQC2gRrZF0j3IJwrSu7DwK
G1sstvk+sb29ItAjRwUB80ka/lCAs/APsSuhlBB2ICLGCRe4NWYWswuXyYSxFZ6MbVrh5LBMCGmL
eu/RIDySWNeeVCfFtjfP9x4somOh5Hd1gzqw43jVNER8Zm3vx6YhECDvdqaYOTiHxQAphHRu8JCI
Q58ziZc4dX3/KbsPrupMWDzfFNPlsjpWfm5AHUlN17eKyGRM1Fu37gI/Kx8hG+kUxtFyjcYeEOlT
6RvprAZKroUgjbKvjWF9Wp31ZOI8+Fqjr6u5RMHYA9HpNoPqi2lp9/oixltVvU06c/adiVmkqQNa
nUf6JjkOWaysd2D2CRUAv5Jpj3Y1dA9z+Ys20Jdq7oh+1F3Y9THXvmfnplG97KldQeTRRM6CquCB
0F7LJAzyOCaz3sMwkLq4BCK732eYoZjnd4lfjt0PMiGtbWjiKHWgzTXnIe1M8CxVBYmtQUI3ADYl
TUBsbDPkdIPjTlWLYZ5LwRz4X4FvowPgvhHh8JNBLq6ZCeAlFDyoIWO363OI3IOj+gW5F4UbT0Fl
pXdNSF63HWXfaEZzD/CmLTiiFn0YVz6nYRBK8Aw+d+DbWRy+FSFp7a1Nq9vKD7FQv9SOEp7yPkNU
gGm6b8xzpuKxUSbTIClaZAEYpB+i9wgt5hqFi6IYdknPHNecmEX33V2JxDMaDTsYbGwj7rMYSCv0
UMptXV39kdj62ZoN9C8i+VhEvvo9VH9tf2Ct0cKg9MbbUG9fjdbC/K/OJFiM7Gj9dRzzX3UCLx2G
gnOowBNZCodv/UGZgv/TqLJ3tOzdCyfcj9WzFjvlpqsy7CNO5FdLnO/TVVEbm0bxpbDdgOzTLTbY
4YG0FTzB9r6r8ieyxMptRDImkQx9vuvBswbebGzrFEcAETL1Lpk+hkh8m1x0Zot46SEMUr9CLtzl
MDLGF2VGE1Po2W7q4vOsTIRh2Z9jGfSEmfuJk5J2axu7pqSy4RCRNqm/RFyrW6GNv4g2O2TxSCyI
54yofTj8ktqBJ1ITWrDuoNKNsyDHPheT2LFxM5OeHx4fHCJ1iUG/RMbD+Gg7DclnLXZuXgGHGca9
yDAuDMCh0DwkB5dbVQ54crjNDdUFtwRHqk7MxldL7cdMuCi006+miaHFwnOwqbrxc0AoBV+35ryA
HJ3Ar1i9e1v92+ishNQ6cxAd+dL9aw/mXdQlu5C0OI4NIHKz49t9i0W4AJO3KPG7Cc2nCDHZoRSM
BaIgUj7eTSM7VcyGg1ZY5wGP751WxretCms58rCikKJ6R73ZDchcmpiiefhtKA9vkrl+bHJQ1zD+
d15vBqmTGDtY+W9VnCK/gtKxG20SheBkI50cwXomyDjshDyqjho7BKMPUzdVIAeouLr8tY0BN+eK
/lOvHiKLMpRZzTjfzJlL4aud6efuo47TF/iDH72X0LENB5xXCxxrpqt3c1jqDAvie2PUbs1YK/dW
fV+U2oO7IFguvbQJRmXaLd7Kn+gj7TibXIzjEEDqaLxA5qvQbXNfpoDwZCpw6kIukFlSq491VA77
tkwNyjzKk1mhoCoG7F0jaUqQOmA+VoC1p3TaQHsEuNd3D5BQNrqTrAfEcpOoxQMwA4rV/GQFiP85
opEYgrGjN+6clTKKj1VVW4gy8iBMfS/Ms3tGfr0fOc5LTQLrUMYPTtJ0Z+x8nyY2Ka1uT5WZJH7S
zzqGRmqBceqCkCjWoHMVA2Yfftfi6XlY2I9KSgZIHkJF4T6GDMBD+uA1jGBH/UmziE6O0rsF5ryu
GD2pXsiOUTJHW0h5W9p/nzkWr8BqWoG+DM2o140bw3I/SJBPKKIyBDS87l6d22IzkZ0wgkyEvkkC
YBX9ZM5BFd+MBu+tVconr47GjQbBjpJw/aAmBEJXe1E6+UlPE4ZPKnaCTDeCehBPzHK5UXPWtZrC
Fc5CaI38ezNh/PJ1bX5msvel0rvsRiTaTuQ4w3GKcjX3buN1GrIUT/D4822mklLgZsvtbNSP5Opo
Z6UfN3WpnDv82xutRXCLdRYH1dLUj97YUmt2oeRHhgBPQewADIwzJfEYdQajW4c5n/IVZDjeGOZe
fgbjza8yN6DaVD5ECeFHM/7FvvK+cTmCysFgPqh7DdLgMGl3Y5udW1U9eR538ESLJu605bQb8oQO
jNg5K3i5QmZYrwBRx1DxzyuwQKiBJ9C+apNmAMJs06bBrpF/FlH6KovqjB3jl2MtQKq5J23Vofxe
peaPRGGslTuDgpGGgpAgWOteTGKXieeSIeFer2p7Z+fDsRZq7FcoAw/k0LhcED31UfTTTZw1qLhd
62ib1HZzAGQMkxSI6hmhWiH3PguCswklsORjN9VIgdJzasT9apfAHk22aWK2R6G16d6w29zv8zrZ
OyRr54bpE4NgBxWdG+4dn4MNq1sGVyZ6h1S+C2/Sao3MDuNfMFDTUgsK7q8MI8ODVdRPhv0FPqv2
HLYaAE/RBZ4LSMbItlbTvHcjhfOh119NncG95xiPRWS91Ua3pYD3qLk2gFaEnbtJWwB7dh7p7NXy
VOkgF6bCgMTKHp9jpafiE+HhqOHjTudxIGIJMCnF5OlpsAVqskoA0p5OzhCnvlnoDz2NTr9X0dmX
7gwKUSQ+TBVeGCpA3trlFXc584JQ3wmDJDTsybR9lA4XAZ050ML9Fs8IQxj6YhhpsGvGtPy524g+
fyZgc4KWVvwwSkeDq+HYzMdccsMTJPhVo1O2+6nHRY+dKpy2fTYQS+sBKLUtQuPpDmZxVeNjgMyT
gjzf5UigmeWgtyHZjd7ibW7zzXllIZHsMPAK414duGlNZrbDcJRus0TDX5YM3wau/b4xIOKJM2LF
+3TggufiITAJbWuHD3vqn7PBI5+CqnqzUGPQ8HaFy66FzL0x5uljLjGUFrr3Nhbw0VVHJfursYmv
gteXkrzCkQ39LzfPDtYZztSCkj4FoMLFZN4q6/9S30RWeh/We2dEWtcV46k6j0nyaZGRshlbDJKW
/oo46Fe7cFeCQBPY0fjTJOKryNYf0K6P/GZM28wSY1A7B8KrXtyG+8dceG/ZAl3UGX8OBVCcODpW
kblnWP8RZvF8jDwGy6VnP6ldeRsr03OWhvgDlP7UW8O+rKwZnAqiVrXYWGR2bCrE7tvRmAjKEacq
RCI/OR/6AlWoJiFmt9Q6GijShl4jaeGOKo3wDB2iot1M5968ozVEjB/xhZt4KV7UDJzPsjp2jMLY
zvkMTB73bWEpZ3jMPVdhj3KN2g+vCzlQd8xS9CwcN93CLqvnECdaawZzDL4sn3/Fw7I+ReEx0jm0
bfOFq8QPYIlwRAv8uWPUcGLE+qb3uGqHFvlKyxTdjMrITTTCxEdnHSsyrQUPEqOnNK92pI7BmlXn
PnH2CKvOmKWELd4TGnp58kNdYoJNCuu9InJjxiVSAtDcesmn01oU/TgmOwfq00S7Gjq4Q31kAVuq
UUzs2upXvDRr4OJ8gAbzqZW9DiA8PYbh+geoY3nQ4pYwkhKrqfJ1iFZdqOPcMUZ4g7nzpdXHB6NU
Hl0i8byUX6lIgTClhfhuAEFseu5PTOSbgZR14gBeIifEJIvRyogy9xTPsMpsJWaGHEcPnl4hSypi
xn1Qo/yB3JYdabglI3CTCjNXtRmRy1S6VEo9oEs6o/dhKtkhIbdIAJFbUVm9P0X0bmJyJzfqXA2b
BObDTUaFIbHWHHFHfEDJfncHhRgje6JHhsolF+nrrH3EuvYeFeQx9Z0FSn3m7twDihu17k5zwfYS
CYqW+laH5ncGWMktE1QycoqFdv+Z6hNGd7Txh7xTm7sxn3xzGF6S2QpvW7EKg7gP6/pnNcAjy4Zx
CBSm8SyJp7l2AiIQ1N2YZb+8lv600qin0EGKCcQKBaOTM9Y0xMz/CC1Y0WtUEmdnmytVFQzWf7J3
JsuNI1nWfpWy2iMNgwMOLGrDWaRIURRFKbSBKZQhzDMc09P3B2WXdWZU/pl/77vNWiVFRkgUAbhf
v/ec71yGQntW/adHqAPZVM+9DfU+dd03zX6W0mGXszoCzgq581NOi8yJFlKxAsiAn1+nMWBy0n7D
Up7sUicsoQiM+3zs+EtUqlUsqBySaDkUZTTHjKw1vZXLzG3OocZQsEoEy0N89gBFBUr/bgR+vR15
CcvSYOXjNYeWW6wrZuYG5Wjt6cf5jLogBHRh+EbFA8mvNOjDi0KQv3B0ELGaaS5BeVF+wzFflO45
aolh0fp0pTB4r43JeyaX87OdczSod+0seuhyDIucVHyucVNFt7D33JUZoeaKUqpz7dWKQg9hpj0e
ZfQBSvwMY9e+q6ZaLDLqzm6yxoVZWUe90Z6bkYSKwcnzVeeD5L1lPol1HAVYjDH0GW34oZFVtKnQ
WXG6X7ZZeWXTPFrl9CgDbs9sbc3XyUhib9l3Fr8j/oJlV5k1dfSc1TG7AWVkrgPc7J0Ooao3vhXk
UxA2OayIOSljJyaOTz6FNKAX8KMSG4lB6iM0DMIz/TiMUn1yljbjU2QWVdNfnTG+Rt10wW/8GETj
HSENp7bJSMc42Yn5reBX8Dv4GtVHic8r6LVzY0/cXtr9EIFryCe5mQ+mkyoWPLgUtIHxYCXBu+lb
z5OpDPzpaquwfMehJBiFU0KXzfZl7dnFA1/a+rFTANrqCIdo4fPr2pXzJqbu0eRqWb5YY+fSQ/Hk
TtO1AjO7M74xVLBSCkROpUsZd5h3Mu6YWuQFiRP1qp28daTXb5OUbxhlaSEYR93IPlXjvVlKfc/z
733jgy5jwJHp8Pr89rHSKsgG+afJi02n8jMIk6fULq5YPyaEch6ZRbmETZnMcc/qW06BvZgiliQI
fkAx2+I9jeu7uoZjSdyOK1IaBcOdGMkvNMsn244PwFxfpNE89TLbhAOj4sL1H+Fa01nu6s/ETR69
4NYL9WA2GjCQGCNq+lHqTJVqqR1STW2QjMy5dqHY1GRRLO3GK1emUb1o0bmcom9J2/zIgpPV1EiZ
ytLg7XGPBJ0sChU++BBCKs06ys7+tI2sAckyN6tM69R1hFQyQ6OLRKUdQtiS0d5vXyzR7MLgtR4C
7S5rx0fN5ygodRRo0WWKtv8n6Pv/YiVJx/lLVtIlLH798Y+7Jn3Pf/2DEvC3f/jfoj5p/GLMkj3H
cuDKu19ApP5H0/7rnxr/yfWE0D1Deo4rAW39m5Rk/sK/QOWHpM8ROg7Z/yEl8e2ErRtEFBCA+L+R
8znyTxBurqULi9fA67J+jimvIKETT+UVO438ZNio4du4Dx39OrqtudX94sxz0a5Hq+6WHTGji94b
OISQgwy10dgomNlAP4LsTILq1SUiLDLtVxeIMyDae7eZO3UGKJbkPfOToyxwzWti4cbHMCvumpla
GD1WuTz1zMqx8g1ECNXI0tBDVfCWt3DcL4iwwL+Xj21PzsvEBGoq+oQdJtgFWXpKsaCvWhf1rGkB
B8UL3uNE1m9qOsraRQ0y0GetNLFPLFw1WoxoQAdB0xn2J1ziQ67ReGTZJLwZ9axDoAIwlQoOdN7m
rB1s/EXHkpeb8SehX/0Cus+pTDtYIYNxTtJ01wr5a8eOXXvwxqOmJ264EYQvZkeTiUNiCtAS/baq
1bUV/GxM4p7MfvTjeNGgiU5h8GO0V9JqcdjbgPJVjwpBe5IOabrouY6JTwpaw7spB22V591jr6fH
qE2PRS52Cjz+wi5XotIhO43nqJYnLdIJ6poOhaefPV+/hZq9s/Lx7Fc0lMxNnRm3Wmsot+t1AwYW
ZMWRSIZPgzOop0UvfgNHzlVXM7RfVRKss33jN2viLE/SIm14SI5OEr8b9nSAvb/zkvxIL/AS6v6d
Gdx5SYtyR204RB6Rap9FPB5i0BZeTWKNF+3rGE0N3rHI1bkromNJYB3IXUnFhOJsFVHHmGm/tdtk
T6Pw1HMQLCRgqbHZSG0865NzbMcXPQUR4Inw08q4DwKCmgA7AYQ18I+LXZ8TbRBjJNYoG5HnELfA
Ty4an2iwwQBSV7LNW69wcd8DO70P+rXnGucytHdlG+5jYmBpXu71mnRvrjCBezfVkJUxJd9Fkn7a
QfhZtcNlfhtLbbrBKDpKMV2Nalsn+sdIIgkkgSVtg+04qxjha6V5clclakl35OLlAD9qtP0kbaA9
MukiW95+MPrzMDk7NUb7zFokhn0qJvtkhryD5XAwQrELgvFAWvKnG+CI1tlwo8Ha6CI5WjZnZO7J
qbJ3OgZtgWjFt4cPtzSPrrsekuHqhOOlL8VrSNNy6g2k5cmxruL3r58xqmQGaJ4h0c+lA7zoKvj0
Gxckbz5sgyF9n3NbHNGsBVeFLvUKKSkyr2PRjufO6nGjRK+2ij/rpGGRaDcZTWN9TI9Mn/bgdo7Z
GO18Ml6LerzNe2mGDx0o1zkiRD3pOXzH3Kta/ZQUoNqHbV11F5Gqa61lx25eDtzvQzjdvEldemtR
BMPF5JLUTvredN/Ak+3bfrrJarrNVxBwEyF/Ca3M7H1+Y+b7EWLQRUb9ijCsWzMqsE8jZnUgZPxK
vqVWgw1DWIqdbXJptGo6941+bs1+CwjBHDKsrDXfr155/D4JeWAxPI++t18bfLBMb3cMwL7j659C
1gRfqCelhWALomOSDIf5taUBa1nftdfIGJDewj6N82McsRSocDo4tiKFlWddZWqTNennIMQ6il7B
7K+NaLiaRruZbyakfRukiDe/pZGd3VreKauTr0NJFc35/KaLu0bznnAQbmo73mvx7GtSLNPTWdZE
ktgDDDh7RV57mQ2grMabjPstaHBWmSJ6dwPtpfOCRxLV7ZOo9Y+QWUnkBwCJgmhp6c7JksOHZ/vP
OXMOyNOfQMIO1I5LcAQHLYjW7bgvAtrgpKtqZ78v7i1SuB1YNaPZ7qopmU9JJ2EzfK70M0059GJ8
aiMtmw7WdwY6j3oR79vawlmfHrHLb4qBx2MMuSV4px0sG/VbY9UPSk0HCLfXpgFznCIH84fDxIMw
/z90OQIB95rF7TUwrrYD41DZ6qPxh/Mwa9iEulYmj1gsyq0f0mCRdJBZrCKmf3DNVE5xnM5o+eu8
YIuhnkErDx47WxtPN3J+39uqejb9G42Oq+XT34nE8GGGP5rIuwsG5zQ/kvOaQHLcKYy5djxEjckz
Zhh0nrvAfVWKXGQjZ6fxxGul7B17YshRob04gmeehWqRdCTbxu8tPyPNWd0YfoQDbZoeyJ4NLSr2
ep6P8L4OAbQnx8yUp68nDtYZ9J1g6WvirdU0ZhL+3AwNH7qo5jAez2qWca750U4HiOr2g8aBES0k
zbrAX+p2++LG1Tv9sw45ufERB86MH7QBvJCFRnQvuK7e2ccssfc0dtJ1NI76mpO2BW8OdXz7TFwS
QXxds8rCqqGTl7xmw3D2imQ8jKgnWqNh6A+f1PLdlrwIcqv8vB9JbI1abZnbBD8K08Amql+HPuz2
xpzh9CUL+vrs68/GKRq3fQYsQjqPURibmy+lYDbT678++/qgCTj2X58Ja37Z4EKAv3suksgBl93e
k8ELIYIDfab2nm6kvwcKDT6eeMUlTPjIWnr1ZOy/PvSz1jmLRbvxAREawKGIcPX3PsHbBE++hLRf
10GLlM6lV3+XdQn9ja7ajHp0M6QR3o0Z061wYglR+q5qnY3hauspJ6NkStY5oCwUFgv2AFSkr27z
6dTOJkGeOJu1Y/iLw6JCSztK/qQ1ybsP+3XWoIqolNYcyrFof/ugzKE98OKm3SSbkwzrYUNRRMMD
fQRBcUg4wnNeiIJZrbi5Cy+13yfb24XsAusqdN/r3HA5y3fuPsrVGzlCyxzT0BrlGPxDSZvcGdiN
U3EDqInIoOzzJSJcRg025+jWhmGTc2NPsfmRaske5ODJFeQazQPCpHZ35B++qpLWxMRjHtcsHjwC
+agumTddgnpc8rCtR9QjC8YW31I9ax/0eA31DF0BwIGvFKAKAkEiX6XmnPBqXs16vCaigO/nLyof
ZLMdvUdip/Wgo4nI+51L5/wbmfcfucrO+DDb5l///BPSsWcyynaE++Wh+Rl4G8UI1eIeOTcEfNgh
tOjTKz76q+8OJ7q1kzYeKuqoQVbrv/nJ/wk4xmzD6cGyiUej1f4TY9kjjCt3Rkn8WGCcGcnki5F8
1RTEFOsLhU4UN8sBOgP5Gae5VPqbH89p5/duHwHnFxeSK3kFuunBLP6j26eXcoCTUxY7s6WIZ63J
w3ajVeXW0y+J0V8cK3pvirt2eCTc6FALVjUK2zAefzuB/j+Rw8ZsK/ojMpkXApTBoWjz5v/94wsJ
4DNi8yTqb7749tBdbCqTVDvAWX4YSwqDtL1IxuhuZS8VannSoS/5CO3AYPdJKVg9gYBcrEv58tdv
0XxG+89X5jnAbKVhG1L8ZIgqoQJN8ejmO09xhAL2boXWo9bQZxj6mcBlO2uRqO9ft3fZUJ+nhAr0
xjVozkgg3nVv+LBCFoCv8tC1p3OwNR3tBdvArWXrQlOydEbKEGo7JxvJ6hkI5bBfHa/fJihMQx6A
uUrXaWi76XDJwnjvZvp5sgACcS16Os/0vGkEd5dY1WtDvKauvqnY/HyXDrwat7UL523sdykx7wzq
qWEjHl30DU5NwnSDWaJGdBjctGD8SCaUY4M4oTRYSgvgqaEufpl9Vp7i28fvNZMi9rClKSSdRu6a
RaqjgU05/xH8lgDM6a5En+aLv74Kf3Z7CAPgsOEYum2aP92nJoq3rDBFvgvNBt69flZeus8IBp4r
6+FmtPXdX/9Aw/qz6w5WeD61uyCQfzbCeb3hcjblyQyc8dCk8ROYGie2bnHRXxo2vo0rkvdxYFGb
5nGW6q4cd0mHyfYWdX3a2XcGHP4mv8sLRAbdxfPoRpr5gyXnm0GnIE278Wz1PgcJ86GBM9e608LJ
aWgpto4+v59YDxWl2Px9excCrLawO2cnKEDnU0HKneCFyDvNgeAqfTnK6dZxqsqIa/JIQB4zqIeg
0FW/5Xy/RVF8zKNuEzXf3bCnTEnUynOImBiMZGXKcheNEImGnvFmbCCSEyVGp0UWmCXSuZSBv+sf
fRDs6BCTD6NVTKq6q4neK1PBQ54Mt15CLYuIvuYIRgVuvZpYnTkQAUC3vtUcR4s0ep+LVkLFtrGd
nrKxeanV+AH56iryiCN7eKnquyjipBzcdbzHjLWOjI6OoStezQK5dbfPxAhmMUZGWTLvtVduoDZj
mb4bqb+XJhkWZ4buu3C0sSCNh24OfOyM83zco2I5jGuNx9WWv52TCmdnqollN9xX+eNgsmnxe2DB
OXlOcOoBOxoSiqHRHeBKffiuOJG43P/Nrf2T4fJrCRZgtKWhuxKi9k+39iS1okJfke/m49t8pBu4
7MYNXuzL/CvnTrnL/2a1/bNVn+AVNltXSs/+4tf/ju9em2MkU7qjOzvhQNZwMC3+fkv9k0dWOgxz
xPwR2cP8In73Q6Jwti3pSC/I0suBwjU0cdLpWg/Jtgow6NAKekz06jJN1AY4/AeDYUyYfM5Vdu1N
gImddWR5a8825k7LztPMU8KxpzPFq2QhBKC3j0P+DXI6OHPfXYcfU3XJkQRJiEQzPpblLBtuKkCx
FbNU13WC7W5al2N2bIAlY/O4WFx/5SfvJgmrbdseiI/A1dRupDXdQk+cklKgTKckZ7xpy8vUDzub
g878Im3qEOTSp9FyrpAtuWXWnVs+M8GkWKQ9jaXMio/E4l0Nab8G2XBwnfiY19YxJP+FmJ7DfGwC
Z3XUJ3IT7fqe2+MwBQ+uT+ujoV9g1pyS6O4thq54MZSsYAGiCR8ovXQz+rTZLrSRM0mUHLsBXpHp
MbJO9kSCM/wTu/nH6TULTRfbr7mjrsQ1rJNKvmK9IumlJeI2hcIQEPLZX+cVXHBe+5tlVP+TAodb
zEMESXkhhP0Tpj2HXzsUY8Y4MmX7zDPQblVcMxvk3FRL4Sy0RD8UDIyXRsg10oaICTbOmkF7Mr1l
SgBzd6o55nUcDZVwTkq4yDlvdoG5gxP6fHTrunOTDZdQC+4b17yv3PibB7kSxTItOR2RRPQyusl7
TNYxWxZvaZ+rO4FoEhniZ26rhTJZ8ypaAB1PPtXoXFSoGlmDb5/mVbWaug8U/rOO4xD5/Ydk5Wd+
+44J6SjIbipHd68JsgflsDVoLtC9I47l4rndxVBqpexhkxVv8yFVJvG+1kh4ndpNSXOE5LRtZlPt
0H9xyuFWhbCoxdvQC4alPaEznEsSiMkc5pjxn3Lo4Ibai7q5ZF3/MaphOxdBdjO3LKxXD8mVA2Yc
p9wW99kNxy5qu4BHwvIfS1p0rfs9sZFslW27+usL/SerGIXb/H8G0E/T+OkyQ0slHrVn6ty7hD2D
0oPCR1+z77fzTW6RnCqcvV8Gf3N/AWn+z/LMpXxmhyYhCJfNT8tnJSwUnELlO4BRt6xOj/M+5zaA
ldW617kYaXb0+3Y1988SMuF9S8DcrlkEaLzQ4TR5UKzGRkZgrnLo63ORndDWrHWU89RihvPdoZEi
inox10sujVI5nOfuRp64rx3p5TMwZl4yehCImrZtOmeL8Fb2nIdSjyosGz8C3zmFpoWfmbi2sV5U
ZXq0M/02r7sxN10MijjI+0WNoBuEVxNnx5HwcYyCl4Cih3qiqCYMgmxGOVczFvdOz/CzTY45Kh7M
Z5chHQ+ZZN2Yn+HASt7n39ma9Ntk6Ld40o+V4rok3zWZHkfBsY9/m0QISWW9Nh1W3zrdz4WOHPRD
y23fcHKFwK6q9NSidbL9V/qBPLGd+zp3KIJOB8QXst0KMI3Z59wOcTsUplTmvxaVt+1INTWwqBuI
TtIYb0F2dARVxzhNH4DWLH+OlNSW4FC1aDhNLU/lXNZNdv4+6cwU+vEhCH2YpgK1Q1gZi4kxa8Nx
F1/rfsSGF7r6sUzpxMbypIbkXY3yNHetDfp1c7cJgsdGG8V6bsJx9vqYf2nPomJJjHOlRWjL6abF
6jLv8BHPRt/ZJ0CK5/nr0hwPOhIE2kW1IuqTdnKHgCBskgWkHsQHSbMsfNiIbSp28+o7d9bQ0F5F
2z0YyNbmQ+yoru7YfxhF/IS2eGEo/Unbz6sugpWj7sdHiMZbTNbvIoqPRq44bIbvQvCqNJsVmu5r
1o3L0Y9tvMsHEBCvc6cty/kLPL25br+yhR9ikip1qssyfIor534umIx0vKGlfCVPdV0grjKS6aML
2eqoJroc6GAX70OPPqKHRduZEFXCSgk2c6+tbVPai9U6KHZUt/uyHEEFcMMz9JjLyIhteOh5P1m9
BF0BAPKIhziAoUHw0nZFD3GJrf1u3nxy0XKCtE/dTIQMPnSNvv58w83d15hNtRw4OzQV3ZohYwRB
e6GR3S2FXoqyh520YvGfOuT9dJ1Zjuc+4VT6P/561TIs+WfLh4QBrBN3IlAZ/7FKSUcLEaqwMf3J
ETAub+TU31n+M30uGh4KSNR8GHVVdk8bkxlNj/IjX8295/nGakIPokLLGaDF4IVBPL2kif21bH99
A2l+r2IK3Dr6LDzovy5+VHs4sXk/eQA1dMcNELEk9T39oH7dQGnF5a8DwB4iOA+iY8/Ja408nZQQ
7kGNO6siGZkp+jmTHNIDjHS6XVIyu9MxL6JXY+4iOROPyeBk9cYwq/ey9kLg4cCXJU2NuqAX2hb0
NnWr7BekwDE3c4gFGUyEp+hbPbrceO9vXsURsfvUa6tEsZ59zutLOCHGjGPAgzo6FefkiPawNlmc
5jXnKdD0E36YRVGH7zr0RLfrb5Y+XIaYdJESkpex74p6Pe/hKQRP3wKv4bSrqqfUm/ddlR497sj5
+Wuk92RYTx1zjTTWz/N3m8ukwJyPxtE+edBquS6YCcx3RSLFaf4mHv3+mvby3BnQGCck5rCfTxqC
nDMjgaFRjB+oBteKvn02ojf0jM2uLqmCCnXRiTOQ+oqQLRDgUHpybCxV85m26mo5KE95oFv579L/
/0A6fwPSsSwG3L97Ulfv7fs/fks3Or1nIHiuP4b35vcD9//+F/+m6Fi/2LrrumCCAekIdFu/Cydy
fiEUyJS6y6mDcEQe6H9TdJxf5iwuJn7ERBpEitFjAg3Qhv/6p2n/4lq2DXNH5xD2NcH/X1B0bGH/
VPVSitgCJYA0aVqwrphzufS7w49Oh76rikK/E3Hd7Zyme6o64I5tkIF/lc7R8SwkaH55ydBdLbxp
vM+Vt4po13Yjf8VMacljk8NDiFbHrS+Wnb3XTcAQS5eYqacNBryrh8kE1U/4WNruU98a93WBujWc
iKdjvUcbJJ4TzUFeQsTyvW3V7zlMfk2QPDFWq4EsUMeQDPLxEseMmlXp72o33UjVvEx5YmM6zO8T
slAWfmU/VlZzsmsaxwXZ35irhoh5msWZmtohbyDYuZjnaFKbiiFWME3A2D5iz4M3nphy0ddykaGc
NGlEovZDWZsa2XqSd7BKWJgio1wjSd8qQ91mLdFkJMD+vXyradG18QDl93LGdsf0WipK2j4aUC8E
47JU2cb1m7fKRaxQi3uFWZelLLxzJO/H0uolcwacAWgn9xERsYcCMPaqN4NgCVfPPGbZqB9kTDLA
/JWYaTNfn0HHtBhU6EfCPIzTRB45YfWRt8W4bfFbiOZet42BkAPLWY0DaB2yd7QHcu6DM5HgwbmA
9JIX/XQ/sb+s67QlucdmNhZM5FO4mYIJMX+pSII445xP9AhlpTmGiB0jcZVdQ8qGhB1jZ1147Ar/
JfBz0ltQ0QGPjrql1Fz/4etD7Y7aQ2kWTx2JEN6AVnCSLchY0LQn8uLVAXHxthQZf6bX1Vrzucpx
BKN8aWUlsPCkKVYz9Ib93zRCwsklfT9ub+IFEjLccinv69FeoOwtAY0O8t7rCwJo+D4r4Djheahl
dIrwTmV4IskMCZVa1joLNRbIM+lyGpKCUT1xmg23Y4CBWkm7fcprWzwaBPB5d6Ew6meg83zQ3wJr
8p++vjCByIu+6BDLMXQnG+O5A5Af51r0Ci4tPVg60N2EVI/XqdSJSWV7X8eN9ToUpJL7VnvrSBn+
Dg+xghsjxGPn+Mae3uWwDn29X6IbUYeRe1pqgfajckgVcofyRKiI4OSA8JGkEiDRubKvpmPRDorb
k6P30SqvzadBK8Zf3YrxcV+qACoELVXNCb8VPY946iEWEHTu6R5ewj6J35BLEsZjFO7TGNvsK7oM
N4TqeAsgq4zD4jbYVVznx8nPgRIlrv1GotZdiZv8e2e2DPyGB0I9+udGFtMu5GC8IamieU0mOmu+
Yz4gcKcZ16M7GzTbX3ljH9ySxBWolonicweEbVliuevODnQcZPxXrze3hhLJktBRd5eUanyRjfEy
EkF5bgRE4KFukjvXtwNkbk33Kxk2Rulfkqkhkt2tDmnWeadmIBwoMHB9pkPk3ofkFy0FwV/X0FFb
8r7EOgU/s0YC0F1dv272Tmc+e6bgxJwG75mGJqEOxHQuDH08hknYUjoOqId42A5Vacn9gFGJhcIb
ngqtH55y09wpG+41RKdug+pyeGKMCLkiGo3119+QTe3t6rlw68Js2YFLeExqOTzaou1pfUb7//kj
rmWyxWYA4MrR4Y3m5YteWhn5KIW2/vpyHNHuleFc0GbBoe679MU2kgfUDs2jPankeSzGhZP0b05F
8dVXYX5t8vQU5U3w8PUVCWWM88M02CU8E8M4uFdWIMxR2Rjcj1Giv2R6sHJr276iPVJnJN83VGEr
qTvppTDM9LEt8m3eg0UmndomZZuTrKgH1Bf03xEAxBs3MIFv4N2NDr55FaaFpD5yAX5J334qwWUw
TPKrH6G3VeTO3HcVDVJHI2hhSjn55hCFHrh+tHm7LtxKDGM73Stg6WvNk5YbGf0WXV8xfC03eCSw
VTrWA4r26FfXNR7cVNc+ho0ymFbJYMRRi2eUrjyl4fzlijhOEEmqMu/qRsjXlLsqDY3kRdBCOEiy
vOhPZ+5r702gfLi98MKV1lo6QfGq1mz59atOqPQhjbBqGWX7iVfNuZiO8VD2WXfDS65t9MjI7urO
tzFQNlguA81/zGFhLTwSmpY+qVgrt6vEuR6bnH4Xj3CVgyFTaNNXnar9nSPC8iYLLkom2+gwRPnJ
L0rvoZ9UtgwDGex5yfGztNNyEabjq+nPBaoIoqdML9Sj22VIBPTwqeoFa7VPp9aGm31vxu19Urnd
WSQluVlurF5qW9vEUQHfXlPR89DgHRMyb+7KKoqeTQhPSGb5jb7+K6WpTDQqgmy6CwKd5oMj6+ls
O+rRCCZ1+O3P5i/zLi7QfOg3H7PM0Z0/fH3W57weDrThuh2S7jBIszt8fQZ7KlgmU4ljJvSHtRWw
+w45y5NeN87KRem/iEyThF+8v4vMy6pzavQ7XLafhq4bW48sgCWBW8RWBQXboJMyTyZCwnDRp0+8
Cdw/7s4K8IFy41swq75ZDqm9SRTswlRXd1lB0K8Ws7FjhliYtfTvS1LvMC/EJ/h6SX3OtDZ71Fhl
576VsdGcH8ZEQSTYFLaZPoGAM5vq0CVE3jiR/tT7REwbsW/sJst3VtKtvU2RlHeWVX0LvGxrBB12
QFJ9duC4vrMIE7hSad5DMBJUjdf6paIjd+wEzksOnBj2FQoB9gcC1OSyHJ+iLuWQDJQQkXHLj8XG
KIVo95b8kGN8nTBRemNC3EZIz6IeHtHOBXxSffqRsUQZr68qB6UaptWz1vpotM3uV2sY7wA/zUgo
co9bDWVgIeJq58ZSLG3RvALVBZiobDbS1CQdfqjoLSEpC8N4VXrlRwCjYcHTetNaQHU8NShJmRuD
CvMi72ZV5oeRacdW6sQx+cNSiW9uGW6ZZz2qApBvnPY/pKI7V1UZWrPIeQ5UQ+AHuDCHqPlKYUco
xx8J8ZqQy+fw9eHF9suPrnA6jMbBgVJDIn1f6aO+wvNHTyR8DCY8G/ZG73Xk9p3/VngaZ9dfFakb
MpkTwuuy2QaKZA+9Nratie0G+yJGb7tZdlHwYSaoWPTMfiw9TJnpRxTXr5OAW5Z2tDgxsvRRhhUh
3VdfKYW28VK0+pMvk0uhyB7OMMdK/MvoaPrx5hNtXhLfVga030xtj0rrwZ+0fY2Uk7sJMyOYxe48
NC6RM9nIzapdOkt7T/oGNJN+h8Yc146zGyWgClbihWsOV9TamLe1kmDJ2WARKgwodE9QrTEPTS+z
XMCMpmw1uUa4oquw4ukfFogOPpweIp9r8kjW8V1l2g0uSJ3pccaTbTn3VUK6l6ieZ/h667HXWxDr
qocqwERLlPQ99VOyZVWToY+9AR2QmffAOEXfrJDthr5N4pLuV9sQryWi9IVVW8tc5v7BrPhsLrsj
nQUmC9AX+fkp9bpvMqsOeCI+cvKFto02XnWex1Vb9xj3pLXLzOm+L1Fk2BUPokcnlIOYXOYe7bGx
13n58ChaxhTk5nXbOlRPY5IdMh0LTu7q0A1mHQNWxA23Ojwu1wlJb9dvemGdEp0h/uBZRBjb8bep
wjLV0NxoQXkuvSjGSWUOFHLdrcmsb838fQzD/hbU6clSfr+kj48hMPxB7gWxZFr10ZWkzzQgKZbO
s8y8N+ka32P3V3aAs1/XvNQyIoUHo1fjfrrZ+F045r3ZNiCk8qwGR6HOZLXg7k+dVaSN753l4igS
Pzqn/zFG1b0ofzSNYKZaZPf4jO/shksOAOwjRNoMhJ+ej12+G4VT3MtwZPsiEV5nL+pAYDox9zL7
wNa1h10RhkcK5lej714CvD+N45zc0nsEiXYuCjTLYzZ80111LKB8i0o7UBqZcy/lVwDE1dcNyOTT
Z77TbDrFAGUqnYc6cQ5qIs+SSB4YkRBEsDU0Zz9PeCjrnJtkYrphWXyl9WfNiM903t5sPWKw2i0d
DeN0MUwF0V/qPqDHV3VWuG7QsunxauZ7dh2eQjVJjL/4YuosewgcxZIVYk/BfU9GfUD/JlyV7ptI
yCmrpumHcvtmUSfVoXFOWhajFSFAl6LBxVDsJDurj0hdNNutY3RnFx98kdZvvqfuCk3GG9HhLEob
JjADzfSqG9ZtaxhbJ8J8jQ56N1b2utEKpsgOExxJcGOua/aJ8/5GBIA8agV2UDgzFMvlPSCTM2Qe
gLIIgNhZ1synC8weY4MBDWcJNpaNj3D+I7jET66ynhwvj65JYb34Pls7ZBMQeEi/OhtDDlVWc2d7
3FK5p+A6MMkXVftCqzO973HTQU4dE9Kx6aSvKo5yzCv7Y1PF+kVLrxEA24Vpl2KVWqFYqu6Bk58g
b5fVJOiGcVV5Ecin0NsYjuvPPj7CLwbC7eiW3cI2Kta2mz/IZIw3HTKUle7LQ8JVO2j8pk2LDM3q
gnWppw8aIcCryv4vvs5juXFg27JfhAh4MyVAT0olQ7kJQhbeAwnz9b2S9eLpdsXtnijoSZFAmnP2
XpsQndHtdpEqNQse5miz9YDi9EvgMvT7hjK92a0z7Nkn7q04DtcL0aW71spek7TSD23BLr7s1C+E
FfDwcgUTtFfh0ST1jgXxvMm1vnnpKDH2rbue2fg/ZDI2GFbtu27gFI8qxr43S9FN343NZde77Jtt
fvxVY6ggQxLnLp7hjITYrprWvYfDyGaiNZ6IoWe6bHOyy1pbemhuO6u8m0MGeCdXz92A27JMQ/fo
KceR6RXUbX9wW5MNej1jASP0RRFegmIf5XKe50jYxvNYqj+II9E/9wndFNC+a60x2VhH9BQGYO2t
DSYszSV4+/f69UbDs0mwJdzkevso0Vx2J3Fi/zzuejXFwc9uDLm4fD1EE/yjFCP+eej1ThWbJggm
9XR9yetNI4y1qQE7sNDK9kPJ6VUdknHTAlq4OW47w9rD0LlJZwpJ5fgdFyxm+1l9oeBxTpAIq6SI
KP2+6vpbE0GMS9mHPit0kgFpaSI+snr5dtL5uzHafDXMIX06Y2+M4/eSAZGvqlhq3o4FyZNeT8Ja
IaH/8ChWi6l/A2hgTxkHba2dqzmpfPG1LJWzyXNmAWFpp6a2AzMpS78aDNV3ei/2OxcPQEHFmQBr
/ogZGPT10pKHLjrtBl/mAGpxGNXgeuf1T9z3xWYZrUuTAT4XevJexLl9gNG4E6PZsF11EPsPE2Ka
3lulFTJCFQZCoEkRaAMXjulaSkGv12v2+AcM60gR7ipLU7e01hCNSa50SDVp9uL4ABizXBsWq7NF
L55zgi83i0OyU7OAUSzj9G1xwSELI9KPqjC0v3/0/71kU/9jKRVxEk9FdnSFnu1n4pZwlTzkBWjU
zrhRHOtLt6nBqQ8yXDQfo2OXFUGfaGfPaj/jLrw4yYSRly98grQcjFlxGg11rSukK2nDVqTL2dDG
Cl2NfoqUBg2LstIHFVuF2CZTw34myGM2PRwbbFJ8jw8bVrhxYU+vC5OtvpPcidoAWDese9tZ957y
1mgRM4NT3iST90UPe5+gT5ZLBMtiOduGgePld4NmHZ2yPfTN3RQN57pscKEQ3ZJQ9FCVN6SxAbU/
lvi0oSHhNEP8ptFuNBoolZipBTW6kGpK21NsUP+4pdcE8X2ZySyuYbzxUERh5mAhlW8WSGBi49pw
DjKlPplqiiUFh/BA0uuMREoP09ssmnCMp4RKtSWlejbUwIAz/k2HI7hs8sdqoHBZAZJiF+XmjzPp
MsiOw2dNEdtQSdlfTAdPvzWdFuhs3n+ELs7TNg0tmoA5wKi9ofZEaBr1T1bP4LyVg4s45aj3w8Gy
qQi4MrN38qqbmoFfBlf6llvtITZClqhFve+sYj2Rp6v0pPkV4QWkhBqgFrlNGwcwRn07myVJfObr
HIYPSg62i6npUKV/BitGoN7Vjh9bMpLQ1Q7L0G+Lkn5j1qWbsSqewwHTB0o2P09iKqxx8lib26Fw
cDw17AJYcHDoA4OrW1qOWJ/Jb9UBKkVkXprzJbYYvE3RRoHSvMaUHVyCzdgxrYq2+8RmfOjNDEpP
khK0UUBaRnSzygDO6CS1Z/mbpMscjI6DswSzYY71jr5X7Bc1ikKaoV/zbAw3icnq0ahXU8Y0lrve
c4quZRUOw2OK9MyxIZSb5fjS5Imf9vn3aHfPmjkDK14+e6+hLa1koFV0h5EhHPfF8pCjgQk8MlbQ
EM++peJblSh6M65woQ/6qh2so5qQFZzcF0hFI+zyJXZJgVNhr/XAg7qd0j8PmCoNzJXj0Ozhr92n
JZQS1dFuRm0AStEkne9izWyxaCpYNVGo3FawQlihn/OQnFFcxgY1lJsuF98NZs8o/WNg/YSwWwdl
XRSsJm1jM9qMaJbVb8QYnzwRRq9DXX1qNvxPTKW4zm/D6MnlRDSullMMxjUmVLDnXhCxFLGxpzbY
VE3sqtZUPkR6EXT5yBydHRdAFR321gKbq4ndNZO+V1U6YCsDLyx8i9fY9OJtvZgfYWoXK8edF5SA
1SPEmIcCS23MQKEvzU+N1VbFcotsE5e5dpqkF7cqP9ArfYQMChpWXRfLbk/s34yFd07rN6A57DHb
oJMe37qi9i+0qtiM5GE6mKdWKPb011a6gz1swp2rPeSNb2Ie5uy6VOp4J13ttXQXd9JnPErHMYjz
sztNO2++DNKRHM3VoZRL1bAuf3ql36pX9zI25pYpYMDWbEp/s4rRWcPwXGF8nqUDOoU+zNS3odp2
l5NjpFifOlNYjXGaI/jV0G4GVm/2XGK7IhNxiu5S7Na2yaJsoVI8UPbAjm1jyzarEcdTotxOPcY4
y4AUZp4T6eRODOehkd5uOMkW1DMqvi7Vae11xAQeYwaPAJSsHdaGqvSJj9Ix7kjveJVjilKln1yX
zvIcFhoLnqWa7uRXPGBA93KskTYjAinAG11a1KVXfZau9ZJ/IX5NwWyDGCqDXrrbu9S76JN2Hm2u
yOi6VjrhbemJtzDHu8mnkF55U7rmLUt5ybHRG9jp2VqBGFuypzYijWe8wBnSeFpyez2R+pxDv/5h
8XEBwlytcYaRXYh3v3H/QIczwAF4VNulv9/B6E/tTIGHNj07kgFAXFjjK2ABqEgxTUIW0jX2RXZ2
oj3Ga0FIMjhimNHxWkvKQDyoHyHYAS2L/ySj9pE7LoO81/yJNAgFOqgCkPuclTpfYAvGwJXb7Qqw
ATR07WRL1oGWeTf8+ntRltioJQ9BmTDaRCZlIxk3FLnIP5k7fFtyFELrYuFqnyz4Co52CSVvQYw/
rHGfhvzBGkS1SWY3CEcbvYr8nUID/gFtJ+aVxFUCwDMR68iZ2AcYD2z6fqzRVtfN6OLlmO/Jruen
lWSIeoARMer6RyGpEd14SCVFwhqGy5hPkPHgSyySNNFL5gRScfSQGBdtNtoeCpFimC1KrqxLO4pP
qksDHoIFOIUlaapNjJOd8zRKqdBpr4v2Xkj4BS2YVZHhDffkCNl0r8ok3m0DzKA7xmsbUPDJzVmH
5i7EEw6VdjVJ1oYFdGOS9A0hORy6jsRwWUhN7zvHbxwQvY65sQf4NPjNkA9KogcF7ohKm1sEWCm1
bQL4w5EEkESyQExJBelBgI+5I4218aWVhqIOhEgLSmRRZ8IQ+s+hccE3mkQwuVZ06+TeXQeGxARH
0jcTQCLvRkT0MnKAJVRsLZXc4olk6V2hUKKEPco8y4SWgDtJwJ4kC/wTtnk/C4oHlEnsWSUjZZa0
lF5yU0YAKtTXvX2YfFC2dziFYKzAqS8N/ZXsUaZsICwTMBazcPjh4ixDY4KRS3PuV3bXi02sV08x
QfdVzwcQsepA06GqvEAj14oqOilAYAZJg9EkF0aXhJgGVExjCmvTa94ny5tLhKGIlZACZgO+jAto
Zor7zwLwTJ84rF092EahZrOBDDfIfqobtNVP5HcTm93doo3h5z06EfWkuRpvlSo2gkHQCO4gruVt
dnGuLJyAxRK4O0dScoTk5eSSnBNLhk4qaTqq5Oo0krBDh62gQP5uLnbjR2I4OKE4l5LKY0o+Tx+T
S08wJsPzHCAf3NK1YYPVeasEuI+a1WcnYsyT1B8Fm9je8ep3U6edBBgITxtFLPHt1irWY/ZNWqqv
gPVepjGbN0mjUoUHM2SBGyold6jS5pu56r5LpbE2SmcQ9dTjVX7SevrStmQXjUCM6uMkiUYuaCOl
3saAjuwiw7Q7u99D51L/p68nmUikszECFCYtaJBekptUNEULla6wV1kpuVXQBUswS/bEN95G4h1v
RLIK+7UniUy9gZWcjv2665w7NrSPcTi+65lLUjQ4J6N0+22vomMvnHkb9kPkiwnPYk59SwPbHMSS
DAVonclJuyW1NrBCtQbIz8hnKJgX62QjphhoCcdkRjdlrUv2FEv2GuWRRxNHkqmS3N3V0OZnFKPg
rHFy2/bXaKrsYByMWANav1DV7CC1NZnmkn7hd5z8sUwfnZxts04lwG9LhZGdIiDvrNMRCISkaU1g
tSzJ15okaUtFFeZJ9pYGhCtSsC8UA8aBURK6bMnqGoB2DQ43WWC83AGelwttl85LQGGMW6d76E7L
2omRGcSwpq7Me1Cgoe2i45W4MMkNAzgrscbL/SyZYrOki9UNnDHdhTg2gh5DVMBi0noOQZKZU5RD
iaZK6GouNvrytcKd6g1PQ4rgKkY+tSMRQTsa7RYWSLMx9YG17aNT6w5eO3U+FEuOPlbfJLT1bVBP
nMl0ngyCqxVrpUSmugkNYWyGiUmmttuZ+Uf7Ttj8+TGqzNizNm1VMWSvlLHI99k8n+KxG3dFvuTr
3LT3o8cUl5btnrX0XTXQ7EnH+KwYdBuSnJTvzKNHl6v7KIcbByTuU7dN03d0wsC8LtwqAzA2pMib
smOJYEoHnxgqJpi+9VNgcJx0yksFTy+RYL2aRGA4e2oEcE/FXO4bEsJnzql+ENJVEWYLY1GF+nTu
5w/CSZYzrISA7lkeqMV9Iol/jeKcwyGDGoPci6bRuqrS7FSGyUM4jCw8XD6ZJAg2+ARWtGp3CXDB
lO7kqm+He/axm0HyB7UriVAyCYH1bJfk0OnlH6uksVCzz14pLgERIvKew/5ADQdsI1kbNkHtvb3N
he5rs4Q8AUQMJRlRkYxE3u89FjWjphgYqQva8WZdbQzQiioStEqyFpcY6qKmwF9EgM38kt5YpU6C
gXpfO/ZeOGURWD1+/EkSbFOb9WZom7bPsyi2OZ/of3A3SPrjKDmQmuRVVZ1OpkBI04GKz0g/MnK0
j1KJuuNQK7cNWMnYcS7uDGcylMRJJfUtAJS1JFFGFUxKtiVHUq1M+geUQ5BG7DMAlkiOIFmCtJxB
WxqScUlzZ6UCvSzajFYHemwNDD2zQ5PA4u4hZEEt45deCLOPHwy3NPwmgqiZS7amKymblmJcGrCb
QvI3B0niFMK4JKA5F8noNGk67gVQB7/1xvVCzX+jdgWSOrw1uXJjKn255bg7G5lyg6gA5Qc4UF1y
QWdJCAWZQFIc0NAGeKj7QkEfo93TCFbUkHzRMbJsX/eYetRvYyT9ve/ypwwGlKwF0XEY3lU2X8Q+
oQoBXyokx9TL+CUXY2Ll6hYYbGxiU+hGPwudOJ2pNDYzSDvELcsuBZIqJC01ltzUTBJUjQqWag5U
Fb8Fub2Ss6oDXEXLDfAig12eWoig4BtY4fCaSErrXMNrVQG3WtZZBeNKdZCdiCS72jpekcGFteWW
vtnGazof5k0uBn8cfKYLUjqLAugozWXFb2zMzL3kyDLdHoUky9ad+LAla9aS1FlDvDC21/QntS+t
A7ObOilcTVSk6wLfdrElqT4Y2xi1P2iJSbJtIYRtPfx4rA7XJJqypaIo30geLj1LeL46vVFP0nKR
JPb4nCirCwrflu0xP4fhfENqJL73qDhOtQZrFpK7j9RkZzrdT6SllLmyH7ToblDzi7jCNtZ2kxwA
taCLKDdObH7MpC14loIkPV2HkgDsJuLSo0JOpSkmHlPiCsbLzH+ji/5tTt57qweAiA5lTQZhENtO
uUHYm68rZNbrRYzyZ0rvewMucYH+R4NTHAIsLvnV2O4XD5lkGdeSaiwk37gHdKzHdHlU0MchCGRk
E68D7XdAMQxEXtO9L2lMQgIGssXZgVCg311VPzSqnhaxYSjn/anarsJoeMJvde5mN9yEM+W6URTg
/6sC9Gf+bqP7Z+TUjx4o51AynSdJd54q9xEFfiypzxX453lucOP39goF0g5hDTkyFHH9EVTq1gUf
jcs1Y/PJCjhXYUsPQKYTSZsuwE43V/60pj/0/U7QVaFRqKZM2uEzjal2Q7GC3waKtSl51llXt/DV
5sCkogHCA/ed6/TrSk5LkoddAsZOJSF7AJVdS2a2woxpSYp2bYMJq4rum1Zcxe4D4RXA/pWgTgfw
EmG+Zhzsic72SLOLiqbp43XqiM3JGRkkx7s92pLqrYD3ViTnuwL4jbSLTZRkgOv23G9nw+hQ8yBV
tnRlW+F+UTXtaQEh3kK1PHRAxVtJF3dP7qMmeeNdBGG2Sm3qndGDbXzbeYqjNV3uoqHp/SoJwime
bqYFdLjccXUwUI3RgqVnLwRcN+cQ0yMgka7dugaCYSTm6qqxIaQ3oNLxcagvdmfdt0DUK2DqUQFV
HaSMumFUE869RYF1a0j+OtKohk4OC068WdbZlpz2DGA7ZSai0STDPbLc/VQ/Z90y7cPaJpLXaj6A
RTeHAv7uEA44Dg2J62GJWQ0UfOpWadctsBhodduYdFIyT2DKN8DlSyW/CSVtXpPceQ0AfR5Bog8T
mPQ2cHoKB9SwodW3UOslvV6VHPvehGifJLDte0m5h4hU+FBYWWCP3amSLPwYKD61y3qd2t5Wkbz8
UJLzVRD6g2TpUxzZTlZ4o5DAAguCw8AV6c082w9aFRpQU6q9N8Lmn4D0J/SidpPk9s8A/CsLkn8J
0l/Q2D9orndWJO1fBfuvUSG0ZA5AJhMBspJsAF2GBMi0gFnmBsz4TYhWtVcVkQKNzBbQZMoA+cql
j74rO3qScyCzCGA6vHcynSBmpClt8grmlgpZSIRBJrMMNJlqwEZYrCyZdIAORGUoectlBkIh0xDo
vbd+ndAG4tLMHKb+6ZoiY9cNX4U4BSFzFTQCFsbiI5R5CznBCwkBDBZBDL1MZPByUVGVxsHmbYZ4
vM85FFDUYk9RrrtfJQiJd+jb/llpyHtICH4IHUJj8kq3tg3zslq3X3ZUsDD1nI59YH07QsFCHHMY
qxo7TRNBgCZjIiZsYpSpE5nMnygIopjkjvMrkekUQKZfa5lXUVCuTv4mWGDL4KDeGa55UGXKhSHz
LsaK5It27RgI3eZoeTPYDE8EZNgyKUOtJE29fwEvn6xxE7x2ehuCwKZrwgr5e2xJ3Mhk9obXk8Lh
QS7mdhbIg8zocBwi0jhel5H0DgshSa6S55HByfOjJAGiSdiHS+hHzWDjyBQQ0ajPKqv7wCEgRGZP
rRpZJjZleshAjEiRyDyRjmSRUmaMWDFpIw6Dk5D5I7NMIkmJJCl1skl0mVJS6+SVtDK5RJUZJmhJ
sIwY83tLvEkvc050Ak+qVjW3hJdYm5y+g49w5SmT+SgjQSmDTEwx8V4GuVPdCLWhxqsvk+/W46Mq
xLKD4arBczW4pQk7glhoUe1jD24zwSXx8ZrGplpk21wvUU9BrFlMBWf+/+82UH/Mh78PvMaZ/T6l
Zink201M0IwmM2euD7w+psbn+T9PpI7vYvz533f8G4B1vZ7MMunm+oT/uPj7+n/vsRhsdHf///wU
fz/k33dkviPf5z9vicgXD5zGHPKj3RocH/K/vr773w9yfTf9Gvjz+8b1NRDo+tDmGhN0vfj3xa8X
f1/lekl1ZOCQ4CDde+ItAo4BcgAMRFlM+r7XiPLW3KQ+XC+FaB/+Xvq9DVgkkMjf6ykiK6pq//vI
66VIjtS/t3VQBOC2Q8OSt/99heu9f5/8+16/z/vnZSxFynq0SPM1mzr6OhlA2NEQu/39II2u0IG4
vtZ/XKywEKtAQnnf64vD8ZJ4KOuSFSNbc0F2xcYd1FvOQkie8k8qo8Rj+eef236vXi+VvXNystLb
/HP79fnX264v8nt1YRXK3gcT8vXe3zt+3+z3tutDcgpZVODlp/rnta63/fMy16te32D/70h+knSI
39f7++9er19fqhywqPr/vMzfB/23l70+J1s8QmqHemtj7jmAsukDzVQEuy+uOmFCG03++eeqOvVG
TiDl/3X3SMrrQsqCJysuavs/T7o+8/rnn9vUSoQrYzIt//cd/nmb3+f+81b/7XGaF/KZfl8LfWFz
aA/L9ebrE8x6pAf4z4v+x/3/vMn16r93K15R72YCGf/rV/DfPtd/fZnrA38/6/Ux19tiFGTr0TG+
IeGbPjpfZIQaLbRVOfa0PrTCaPs/UT8mm7/DxWg8KVaXh8s51uvLdTSoZN5WnFbVnmQMh4BRWX0o
1jr+TUqKbNlsQ5GTWLbmhANsFVVbur/tcUaGdLTkJap1rckW267XQsMfx/98o2eUzlS3eFTDViXY
Od1mUMMaAui3NnFHK4cA9NXUof4b7GhTh+K206qztTBxhANr5q6Y/8y1+DLDMCA8hrDOtGfvQR+W
GiDmtXyeA9UlYbUkjXJbaOqXl0+PWk2AdNwgiiimCnFRa61mLUzWOuFxG4zSRdWQB5GQnlwudYzn
ry3OkezDVEZHF6S4KTS0ADSxLdgZJYIAlsJ00WsQMD0W62bYT+pMGta4qHewP3WgDnwym+3q5Dyz
NGFr02caEnYWOrrbRRvCDFmJ0QMXBVt9vtOgYq/CTu8WWJbt0/NR1qHS08ulHoOpBaH/cjHMfF/W
9RmVLiS3znxtxuZQVXMOKl4ka4u5nRXKKY7oSKW4KclfrqoAFMkcDyeqEuwxUsqAilp1WAM1vIB0
AUJo3Zux4buzegN2TBw/RvQQIbITsxqC1q/ZmHfufJuJ6adz+GJc4b3SU6c9KrxTNGepn+S8Tpmq
ED3raUvv7KQLNUb0lLJvaePnRvykIQtIVWVFMC2Wu4Xc6Ch1v+t12t9K624T0+abNimn191orlkb
P7GWnDZdo5LW1HdfTvKniGjaowvkuTal5K2hQNzUlQhVy6iwMif40Qmzt054MUGmCJtqYFYIEWL8
2wsGfbPPN3hzKcKa/OMRusZd5t5Nidfu3I4PPS1oPiOsAAe15IeGvBKTd0kP0li5kavSNuBc6nV2
9rHy04fFErTTWR5Bemr35zxevmlhs0zuaA80Jrg2J7yp9OGzKXRwZZx+PjJAElJmpHJxTFCDST46
+ynnRJtiJJ4MVFrXTQGkrI1hZsp2yVT0zv1MU6Sgt4jy5TlMMsT8NjGEQF1QDwIcdnkvGyVZAOZU
+MMkZuzLFjo6ZUOYeXg3a3DwGvejzktzFanR+yyUTe8qij9qrMs040w9IT7GJVYuL/5SpPK1mmLq
2tPy4jWzivpkpynfjlciPkmMZG9oauF7qXq39CF49zkPwlg8zpqLP807Ee9drCpQnZtM4HlXss+s
0YbN0rAwpvBYbxQXgikntJUWIS6pcpDxKtRClOq0cEr7Yz9SFNe022iiOkEwwX5Q363GZNlD1BxY
mocuay6I6Um1oFJpe/Wr1gsQESYQaGgLeS+eKjU0fLODh9OGKuz3TLDf0CZ1RXJIiHyKdkfqxDvL
JDdCNNq9nZqwYimKYlvLc/ZIXdGoQZmSz+Nq0VrVhp1mILjM8/k58sR7GDXQLJLqK11eFj0bkanF
n2oS07vXL24TXwTug2OZ9NpmPGI5VW3hvffT4AaUq6YZMV5asSC3Q/0HInbQq/ZrOuImn5ZnkXsn
U+dhhTaeDRX9Xb+Y6Vogaenr7hSiD6E0NW+zOCbuainj3fxhY5kO88cMzBvEwzhQIXmaqRKMA55B
m0oiJgnGbpNGWCNKRFIDBdZ2DCKOCb+tBtRx6bvgS1phjdVW2Cz2ZOXGZFXR5e3ZI8Yqa3YHv09X
HY16A7EghNS39Osx9FJftpDtqQgMgAZY1qg45PnLGA15oHm5VMZTjui64rm2NMO3SETOpywJomxc
ArtVKcjgsVVR2a9Jjn2yU/1OTLI4/Sxsur447bFSIohI9C8yLr+KRP/sGoMqB1kgg2qR5OcUOGYG
lmtAinwiOiwabnS14jl6gdG4mgp0neNcPahpc9N0s1+U86keKHR2FKx0wkf8WN8Q6GNSwNXb9aTY
1DXV+pa+1SqpbHi/TsS+NZr2lcakAIA9s2uwlCnl0d6O/FTbt3TVnc7BPJRX5GtQ2DKcfdPY711S
r4m/+BO7eRGYJJ7G5OGuohA3/0CO7MZ2RxiZuHFIJA9Ab2rrwUjRtY8iC2zCG6W4j4gBq5wwTyuf
YG5OcShghZIyZc4jGiXH3tL1fjS1Zev0hbmtTB3SyHjO4vJSTurG1HKE6DHykLnJXxOLw0ypXjyJ
SxB+FLvghpt7NMCPBLI/zUsPfaXtwHktn9VkQyNCV0NpuLAb8kOm8+IGTkbBVeuQsmq2fa5qZDRV
Rye1oiljm90+C1GokGc/JgruEpRqr3Tt37wof7Tr4TTZJE6oIwLXfNeZ+Ws2cUykfbfRB9YGhjjF
CyKiGZ+b2lLUymr9T6K0gdFyfsJoJiSOXTfqw5xeXzLaSOzJ0eDcfJv76S3q6AmS/XDp3IoyQULH
t8g+Rye5GM30KprlO6VJKyJju4hkP5jFI/1VCfet7mtcpUOi0B3PNP4Y8QMRW/22WhKxzjRs5gWG
V9OL3ju320cDthyqm+vSLZB+9M53Z3ZkgjLDSsgGdGmT9pOK3EIxx1VTqmUQSo9QX95lkcouCWHE
GlPUdrK9/WvRpbJA5u6riTY9JrXIB2JRrWLgp1hXj00+sF8OEbSbjr6TOuqmDstV7WTH3vpUC4xH
6kjaxzDs1fo5qbNmBT30yWuVIyPfQ9KG9WoYHL766EarWSZY+rZPx91UhZtu11FCJr/bYpBAKpFg
uVqNtAnf4pnG4ODUN4kr1QuQ6NRuJnDHO2VV9ZAPBmoGvcSkwtk7uuF3nk+HKhstv5zaZ1QhJ93r
/wwucQHDeFf30ZtVyKAQjzJUOuavjuehP8Ds6XcLRS3DpDa8cGxkcNNXDGLPTQsyreqnNazzE6fk
1gRAvSeDMKyKG7wBqG0wA+GZ4XQZnu2estySuxNpoNVtnlIgweXDt2mi5zSK6LGy82+oRAjf+nxE
ek3aB4X4XRvTVUHQ4+BawGOA7ryMxBHpFqE7Q/iGDSZgyNU3hBpsnE6cjdY791WdBU2Ilj5P8HzR
WjcUdAVYqIsMdaobOQoJDBZFfoMv2eFrdBwcBAUqq2DQHW/V4WGnzkJntXhAT02uRIaYCQ31yura
5L4X6z60+0cmOFaSd94XeOjhBObBJ4zZ2rlh/6iYM7s5b3hD87sitT3BLju8tZ23iYRLVyMhcsVD
MpdTpGnpiuQVCTnI5jl5WIQ1aAKbiPYZvT4EqUW2Kxbh7t0lf3ZY1NfM4IOo0YGzNp5HTk/Iv2Wa
nEz8WCIab4kn5XBpknuN4SfoBs61MMxoEzanKKl+nC6hPK7RLs+MC+TpGwQnH9qEKmUhA3DWMAmF
CQGITnkeouZos1iMKLKBK75hCbJKW+usJ9kTa+0n1wZFAfQXfbQ+fVKVotkCcubGhasX2nOQucN7
VCfM5vadEqWUx+0G6Ta4wnr07ZbarQWUhsV4DiQHMBrpHoQhRcmP2HiALKxKa1f03ZUViLeLVY1r
TbcmFlYKc6vDPtge/mBDpdmrZH8MauP0XD8oiZVb2my3hMTTxVxisUWXa3T0tzW3vKAg+mCn3PhW
RkpprNHxdzholB891N+TKoNrTncwiaG8mjdFrZpEwiImzgsWoosVIbjLXN/DlJMu1rkdvMdCGb5p
7YD7PyVTuEbyHsw4pVdYjda9iP6kwjQRkTSvU5sehnK5XwyKM6J+gzCHWtVDNEaC0aU2kYxOdXhx
RwS0jRqx7sSUj1YWA7iLlkMFIYA4hfbKshP2vEpK6z0dClDGIzDXyNY3pjE/6irmpZQzMOYbzswk
kpKzbwtBSZATCcweMdZslCDT2zId6PtccoeztCjGZl1AGFyZIwGNE6gjrMxyk0Sy0tydu8x6VmAM
mNjIkKuKF707KtrGVifaAJbyYFbmRphsxxikKoyBLj7Q+cmV3t0xXNdZxsCmGEcj7l5FbHzA2pw3
wPYf1DkEsqul/hzlxF+2rAjBlqVYumZvzcIk4gzJWFAZTBZI+qrM+DFoV6zsafimqX0dN1dJY+n+
rKt3Cep6uERw2zx694rHUeJY+jvEPeLZS7qJWbU39HEnZihmma7dN5aHdErzEBUbWOcyQh95Ajhw
qw8QYO2IhqUxrs++hijS0YTLOiCtfc1DwoO44yXVmn0b9kcFgWJTIfrr8vqS5oRuqfZBtA3BCayf
CUOlBw/3hQwuaflLg1XVLTeUAl5q82tGklQXpJfRsMIn1g13Tjm+Ot34mRT9bqGpbevaG/pOK6ih
PRE3BXFuarH1LRCBOw6e2nwQmXM30AxdAeI/CxxLCj3KVZV6r6mF/gT902MI5MhUaYSydQdgQ1a6
6oQBTaVzbpknU6PzSb7v2l4mjBqqcws6+CgASwQxXQGQuBddKBfVG0hujud7HG4iAG1wV4QyZDIN
wTAvL65371JrR2RSkCVDH9nv+5QFNgtM28GXlOqELY3WAdnYSrTDlsht9EO4nvNLgwP0oKbhjmPS
b+vYWE+pxk5MIHjDb1CuFd2m8nzoIkyXWofPL0qWtTfgPS2d9dioL0qeH9x20LfhBNaS6OhK5Jhe
GgeMl+g/46YLZpILWV/gCWeBMZLAJmMioVfcqtmelbS1V6TyRCQeChlh8zaEg+aegu/DeykbAw2e
m37NTvwS9/GawNACX8tg+KmnI7qanwm7zNehvs3BkKxKsE6rDleLndLaM4eXrKTDHtLtDMKUX82z
W7Qw3ojbUcPC6ex4WCrFV3Z2mSZmb6tC0FqPLDmE3fue29UrmgAlIiHvYFZfdehEJObVN30Ub4zM
SjC9Tsc60z8AQezCOB3YtKFHbvrPZJwvGSq2jVIBl24440lCc9gbepxK40gk77zxctyqcxKh9ewb
Ol8gaJUqjIhQXJu5qInRsGkMhNRCkuSrCvOT6qBpYgtmsa23atCK3S6eCAVxWWcDGNW/RgNTR37R
6F1vEb69OahZnGWifuIV+8yovyp6QBunyr/SHKvvKMZNo8c3i4y0bvjjd7J/ry63beztnD8Tsymn
4g1O5fdEDze6JX5AstyEHj6vhDFKg5pWCOfJ06bj3CooORp28RUEe9Ga6Mro/jl0rzJP3yqyFB7X
8ym3SFrJ4W9vEgSMNs3mVV2PT5yjqEFIO5TDob1uI2I7Mm9VLEMUZGm813L1ggdVCRK6f0/w7EP0
xeFdH39503PjGs/oZx6dArr9AHXFQmfhd2GYrBB1oEhCS+mwW2DBy7mJZrdqtg0IcuNVtXX8H8bT
VAwKX2h7X/HlURQEbZxnc9CDbxVwPwhYEMGCVotfxotOWAgeI5C7IMaY1qMY9ly3+j/sncd25UbW
pd/lHzeqYQJu0JPrHc2lT06wmEwSQARcwANP3x9S9XerVbVKL9CTXFJK5DUAIuKcs/e3OQF43Flc
DhvNGZFxOX04XI+9fR8m8bX6YuGNYsR82rmMSX/NBJWaV5MlLQeNhMB8S+qGqEG7vHWz4WlEp0Am
X3ov/f7ihOjIAmaygjHshiLwMmDzJtPi0fpASv3h41xuTG5M5b74ifdoe2Rpx+lNQoidarGgZNOp
qXlaYqzTwXhoHPOta10weEhC+FxHTFU73LhLXC37vz+nzsq0+6PubpX2bhoWgFCAeq5b60e0FK8B
kMmZ8FBtlRdlezONu+az0uOiFXjJOo2WIUGuNQDUMU1Q/HnE3cIphjSX8DCbuKlcJshl1P4sRH+t
yByED+BS03SPPhGPiCyaNUMKzlRLnBYTS96YAYw3l18cAAjWM224a7L8JHDvIF3AaHiLTeX+SoKa
PlVdExiTWfEOjKY9VbfKU0tia3as+hE/iVltdel+KKs51TaT2NBNtwD12pVsnZ9JVFzr1N3yFs5k
VvnQEJp5uBQG9BvlId1IwV8MzkMEzt+Oou+5MOD/9psRx86Tod57NA7ubK+N2ASJOdhoO/Nq47TW
p9+1Rzsk0HwAbFIW6lcbLV92kr1PVv+qgNOvCgencVPymdPhdlLDTSnTRywUHxwhPsxF5uyX/c6t
pveuiknqMdnIjTwkAHEuxXq2feTN3e9O5bgfWTI3zkRr1kztE6p1ugnJe4glaJmpXvIsPqOCfsiD
Qax80/gxx8PF1CFQPHCQLOFAUfZtWSIxIPBnQLCYDulbmtVi/a3d6tN1sp9RVUUc4MtrbugVEjYW
Fw93TIT5w9PnuRhgqlIV0NHLlFWdCS96RAy5Knw0JAXql2nAwpRY0auUqGLdDvLLPPjndBYOY2rE
9EYZ7z1dDGsSVOdRrnw/Vbs59s9ZWXx4Qr8jHb/r8yjYptynPCGvuB38rQHTGd502gVQxmu59ocu
Bke4RNfPtwZBdEXWE+/oOlu3g/TDlmds3WwdkO+wqCiJhuhRmC966jHAYrd8qMoJH0aSDBdME1U5
Jzru4uLGyV4gyGySjAyppH1LerSvyy04TyQ4FhyPdrHHjUIv/xa7356O+Fvkt7d0bu+iJjKpEuyB
1cnaurI6ZyJ/bBP7Rz56gkIv4Vg7VPsgnLeJAAPcF+kj6gX2YZOmDM3j6kA19thO+VvVyk+q36ch
aNujjx/EKeZoA0Hgza0udRX94HjQHZOEI0pEo/5iBGJbo6NaI7ZXoJjsA3w92nqSZHVp6/iST8al
9Cvjllrzdczp7c6dv6urtNigtBio6RHiYKihM0680aGoAe8ZDAj4BTCsjE/q3tXU9U/wZYPDOBu3
FVX5Mc4VTcwgPvXpQNFo1DuH3OR1JRHdV5O7n5rcOhkZWmY9A66MlU+hRhr9Po+s/TSF+ugSgot0
IgzWOMDyB2Nq0NRA5tj//tc//i7KD5LnkvHNxs9ShRa4stmrWpcyPi/3WRJs4mJ8C0R6w+Cn23k+
niodTsfSzxWOA5/APos8ag/YgNMZBz7PbrY4qHYiotNngR5svJc5q5t9zwm9HtjD+poGZNo+VmP5
0bUgoFKP3Wc2hqOw+nDvR9++PwF7yRgNafrGc6N75JKoCBq8KYTVtFiYONp7g/WFG5iHhhN2HkU/
HSnA5ni00KEqCTK3VomJBKv2WJYCfcI5sjTPDUSbwcGP/M8ktDG/kOA7sQhHXXR05vRiCjpWbWi/
huq2Q4qAR/hGLy+XLhMYx7M0AtH3IQxeAgERA8q/wH+z7id5mU3vIa/uKgmGAWXNYxHjcMfIdKzB
Eg6xf4eHcVX7wa96dH02Q0hebnYlBIiWvJHTNhzrszDjAReEs0TkFtO2M9tT16N71LEmGHDJ/0Do
xmPtHItefMGopHqDn4JOXKuETqgHbt3yq4Y7y/FX9oTxDoTUXS37tzFvOA6NElujk38P6dzctKrd
x7S3TZdK2SGZl+8CCAuuqm2YmG/p5N+E8TcqKHkmfRkvAgVnlQYFy6N8zIeXyMGW0gfUaEmMPLbE
+k1wNyrhEmXGwhYGxAf/EuiqJDf8VYWs1or0eFfRYoEG5e6t9Cw6ui9eL26psZ88M39t8iDbGvUS
+2uBoIiJocoDe08wt7mWSxZVksQU7eZB0DmkSYVOk7Ynxt85Y1aCpbky9GkGwDi6Su1RBvFT9tlh
FrYzA+9jxpCYD7Qqo57hSh/zU83CeGtHajjDgbBUZMSJep61jWZIkACymXdpnMWQflZQViFf/FJS
39dhQUTCtLiLMjwjtji2OZT7KWYw1cw0n3wfyixNPnab0sBsSscsK5NjLCF/uqX9w/Xwv9KtjAmA
Hut7M0ezNNjI25bRU/Su6bBgXDI4u7YXjAOYBjFUxmTSdBxGrhGYFyBzNDs704Cfe9sbC4Im76pt
WLg1Z37GHl4/kFKv6filczcwL+OGCYnkhcFRbxDPAb+rVXfVOUOgxm24NEN5pi9/E7twFTr6NmOG
HHmgrclZqjrKHgsN1dQ+0QLsQJeaNy1jdxylLGK+7eOxAX8rzLuwEs5emJ3e9VN5nLXEoKGKbWID
SJ1jNoc4Fs15oN+uAiwNEoy+V+ADNdtnpmZc/2IGNkdHNkobecpK2urUrTnGV+9cO/2uMJ16Pegi
vbQ+81Nd07SvnNE419zFMMCABbbIPSkg3sKw2Bbucv4sW3Dp/dFVrKRZWr4U3uwc8JxJlrByOolm
mQnVprHqrBzflq8IJxWZu4IJ2W9Fwm1hDMI+M2/MWx40yiwPhHSGbcwnXYkY0XVhQ4lwhwrfLI9o
UwXLI3mXjbyEmniEnax210IIBxWdvuCvfW09vtvIaj0oewoNDY/9BgZ97fGJtctL2gqDGVnHLGuM
ZLygf3Uh3CMFzy8BTclzXF5NWijcUQy6uSrbRIEddkAibEl/v7OqaedollBrOWX5zHq2XoASXMb9
QVC4r0wjN7Z2J4o9w2IncYtdiAyTdBBeT38QCtA+5HZEHNv0Co7hUvV+DzVBlugpsVYUEyOiGYDA
mM78T8a3yA2+ATf+WTke9OmgO8XMUGkchnZIgNZE29yrftltxlc0yft+ceoGUfCSJX1wwKfUw1Gt
qlWLBnVja33oinNdcCe7Ea4pHiTILNWNmFqWm7Gwj76Ns5Njhcs9Jyrr1xi7H6b93Y/zr67Q17CS
W9fV93PjmacmxVjeRB9o9/hpYXsYup8iyFKbsWLJzDjxeMbQ3w7MmD38UzLpt01i/AhrESBVqM01
6x2SAmH422wOPhMlmOkw9lqjjOWsMXMWmTixUtfu7ZK1Mh8ntWHbPkonmk4eVpxVSukjio7DbFyO
O6My9lmVPrZGZu7q4N4WBgdDc3rpRwBVjUlXeKyf256JiDfgu4sLwn0GgNXemM28+xjEdPsj8xiR
Od92n94HVPsUweyKfT++CptyoMOvtkpCePDyUJducheXuBJKh7EBZ5WhQc9b9j+AR6Dpjm5Up0Cx
d7+GgIZ+JWnB97Hx1NIUKO0sJKSwIPJDOs99RHkoszYn7Gr4MCjd68SfIIel4kiy9tUQAJoDF7qN
PxMmWYb0r62emg9qHM3/qvgyneFn25ucWLzhYLH27FVRwvrMfuIoj/hZzCUGHOW17deEUEaSuwpf
UV252T5xwHjOeqMMechN2EJ15NzrBkZ1iS557Wj4SHgBpyo8cx8Va4vcsm3SDsNthTVL1AhZRtBZ
SfcxTeUdO6zkFOysMJWkMFELdCDVbpJlc8FZRtc/lBVxk9Uv2aAFaRP5aJMPtk40rdekdCH0aRon
GOi6u8Jbp7nxSa99eDfiA9NXZOyGAGrNmG0ei0/fhw/qC0qjurnVizNHWua8j6Ha3aXLHy7dt9wI
/dPvv8Kn8tm7dB4q5fFpm+AJcMF4yBGIrxQSCBpEahcYpKR7dT9tKs06HFXWk+xSyX1gvjYkhG0s
2/ZJnCTfAc+YmMPXOE2AytT0tMuGPLI6opDJwbev5KoeS33UY/PU+9W8tzEgbXtgSqMSMbNjpnOw
QPSehwcXcYBFqQ3w/lpM4jjCscZ6qOypvMhvdOqmu+2r4CEjX9ssZvyqlVXftiFJCyoFScnPI4A3
WsYbepB3dTTR5KfNiKPw59BZMEl9xvKys14cT/uoO94rXUT7hAxxtO/bsPbvciZiGyzsyIlRzkeV
sesZsVqZ0WxKoGUS01bk9VjDy5OqO0IVcg08LLoFSnYTe9QqlGXoYCt4sYaiH2Ohhw6rikPO+MWS
C4zND+4tp77qTtGG8SBxTMw/BftSnLVUAngzo/5eRrjGU9fpiVTMochn4N+0FXz7bo/3sH0ZW5Rm
oua44U8obJuJ9dmZf4kxIFkAOqv89j1u0DnPPvUIScP0W85+Bqr/YorPg1M91woxRcvNZTdPo2rO
IckMTIKTLTrzZ4J5bOS34lP0NT55xwItF9rOOrL9ix1XZHdKLmLsHUMkP6dKjs/WkkAUVwbT9pIv
wBe/4Absu8RY4xTJdmMUyM0gsycIEcxNfZz8yMjR4E13vcP0wBXRj+QeBQqryjoiWKCz243R1zeA
x7I9sozj1Ed3VcOA2KcXoawRqY7P78QG9ZoX7lc9jzcCvAGn1E0SJWcMySR1eZ6BIIg0BYFPSy2n
M+Yod55MsHSrBsNm7xy02x4tiElELj4a02zddGiB7MplG0gPcClcDu/Ol60ccMawIoySAN9uVmwG
fG82gaMa0VMdJOeWWRo9tw9btO0F/SerfTDtjLYNNw0cZRJluVvSa1bC5YtZ68t63wjr6PUZWzmA
5G1mVe+Zl2KtI3x1so2v2O0+lFA/W4jK3P32ftBcF5EOa3xQaufNDbhampBS5lsDaD7HVvx8dgkS
ROBio8PAxNbla+7RLCN8YoU9yVY+c/0f/J91BZAppl9Am5amfxMSLT9QVrnx19iMD43tf1UZkY1T
88gUAgqpNEi99VvmzrjLdEQ5IKxFvcMc1cBz7QnwRmYSBqsunzUlv8nU2Y+cc6WtnwTdglkq0Ikt
06yijRG+ZAGwsKI6Emxw7uvT5BA9xhNUoN7LWbgjz3hzuvS7tnFiw7Ie9yWg5iHCPV9/FX7zShwi
3eiivNNiZ0XsnKzpGfy6Qy76mxGgBN7ZgeHJtgtSJHWmqHYxB1VdkXXoLjYXFp9fvv3FQDPYJnN4
MyJJ2xSW+CT27opZODnBEDqN7vzbUH5TAQjj4A6HH1CgKnS+byfX3CKbczldQGwsPLJXRiJg2krv
4kY/4APbmm7J46/EqaYojVttYJQHPZCHumWFx0gmvxKIa5gW2qNTGHxucIrCo4vD8ZYijEwfYxqw
QCThmc7GemyKZR9Mre3oF09JVd87nbMZgTrwNtLNgI92E9AtX9f0/DyAuSvNuHydTkuaiKMu0tPX
GNYtCdMVE6uRIcaYS5pV2V63BoCS6q6dTQtqc7/DNQFeTXEoq5pDSWA13pV4kxaQd9qxWFInb1L4
1eso0cXWrNpTHMhjFJsI1VEcWQAYt/BrXlOKxYz8RcC4HAHaGA4ch34AEL9iBnrEE/RIoYx0Y0z2
h9fqO2G2hzzMpm1rcd7NWtwhnKtJ8MxKWNvDfRs7PytBxgir5pgOPuOw7xCNQylciJV9+OVP7QfN
L6GDFyYo+7EgD6lWZ4eiNIk5RoyxfefL8S4ZkFQPHWoP61jFWb6zaA94uXc/2pjhaE/V+0qbJ7gy
oM1q+7UZ4d1oGqZuDmal7eU6XGImZ+cxcuSDYE3ZBX63V/W8DyuLoGR4xAHx5SUDMg9kkpR0I7HA
SSwSth6dDTJK/i2IOexU6GIaeMZmmx/TElR1b+38lkwTeoNU0CMSACO7iLH+Fcn+F/EfOpLzytIP
me46HpoJK0z5hu7+Vzq6X11fbiNI546ZVXvTGJmXkYNqaap2L/lJS5aBPQYymmfGnVPOT4nrv0h/
PJi2c8SUqTdGa1/SwVjwsmh0OjZEt8Fre/lGS73VZsWG0dTrPhQ7V7PDmsNPJOv3mfopnAVwoI40
da9YwmyuX/k6R+GmBn2A1cl6DssaNVL4I+mQtjPpvBhgElYI7TqEs+PFzYNHvFY0uPPg2az7SxeV
d79R/v8/9eDvUg9c0yYW6X/+d7LAv6QevHzVOR62/yf34I+f+WfugW/9A/wmyDnHtCDKuw6xA8NX
0/6v/zJ85x9cW9/0PcanJtkGvNI/cw+E+w+gAMIKyLUzHVQL/yf2QNj/8EkfDfkvLqkIrvD/67/f
3D9TU5u//PufU1SXiM4/RXjaoeuSAOXzBsEzC2H+JfAtwM09pyXkldgLP4NuiRa4orYdcbNqZ/Wn
L+afr/3n13KWX/anF0M7bTl8UtIciJvi+/hLbkvU9dp2yjg6TLWldnawHJl69GMWesCtBo5l/moa
80iSogYvHhbBmzbGY5ajuEr7/J0Ox6nMmMHXA4JbdKYbSC7xRigWg6BIn+lfP1UMqtae55Do6QJP
tPWw6WoGxgJRxjj60Ojd9FLGwWFoOD8YNEYomOv7//xB/X8JqOGDup4ZmBTUFuKgv3yriYeYylFB
eJhiRAIt52xHBmrTpWBkMZ4rCzGDixASQeF3ljrk6tB6SgtmcBElYFqRGEZbODHz71zklyzrh02g
8Np4tbtVhZ2vJw90m10C8imbJYGKxl6Hwdveqy4TRztwjj1SPhCgAvt868D/UDeZrJiTOQAvSocB
i1mi4JEv6WIUymb0jVjQcPUzWSezPkP/XaPaMXzY7a7gbbc9dehAGC2+cVKi/bh9mzRdmCTWhySw
ngu2S+ZfMNzpOh4kMnmSmxyXH0m/LTkdimq4xxsLIKdxiK4EuTF/6UzfKzP+ZgqC+Eulj1VHw2EY
SSotm2AzCfWj1Is4CcluD3p2nXtov/7mWv1L5CHXyhdcpyVOiCf0LzelWYvKyduZ4OXECFjvoyfp
qPewxaWL/BKtKHbCuoAGHwtmfrjyVqpEe4vW7dAYJFdEAN+QaB5i5QSQtRLzUPveNoIotLHT4YRt
09u6OngbG7QDNkXbyuwnFP4yRwEV7zlTjqs6a+nQTFfrtTcRTRLx/u3KsKEGouLTPqFkODlA4vbG
th6GcDuL8GeWiPHk1PoNHt0FoEIAVM+VKDZpirnqnNvV4ti7z0tuPJ+QVzX1l9RCYO8W91FDYJp7
KvvhSH7oxrayWxkZd5QQF9dfZ7jTHLPp14iQmD/bHlQbrqIgvooEr/BqWgODmWlp5Uuy2MNp40Pm
Ghv1zZHhxIV6yEPumL+5Tv9m7QgowSwiZEintP8SGQcUpCMtbAgPKRlICFCoZYPYnYCkwtO0H8Hg
vf3nF7T+3UNMXI3jChLqyGz5y43hAnKiWuYVnZETuefdzwFDZdISqZqL7pXh0i2UGCasAdqNacF2
olHEu2njqSmYOKTxd2PRSYsPfffjP7+3f3fPhqYfLCU+S4zDvvHnpBo67EWRGxmyB/sSNhx9/IS3
xk5GV9T1CVsugZEWc/431+DfvKwwLeG4fuBAzhZ/uQYh4+cgG4zggNT4G433k1mxHgSl/G40wMiY
lFBFe+Q/f1bLXH7tX7YN1+avfW/Zpv5lj5KxZRN+4QUHs0UJk8Z38YAONBmyS1SZ5KpUVrYSPWJR
gVrRf1JoEVZ6tMlbgC5uWSFudKwVIdsSjx2RdrI8a8kiE5kK3Qa/JrPC/UQAPXKVCdmTiQ2kyjy1
wax8Lxa0cjalr2R6XQvyEIuer3ry42yjvHJLdikCkREtP7iZnawI8KvNe88p8e16nN1Vlh9Djw0g
ds6FWWLafo8npk1+ETOYSwBj+gyOdYlrzQvqzxbdSKVwlnfwIKIF5h2BRkWo8t4OVFAu72xQvtoo
Da86QiHKaVl8j/AUrQh2ukxbTLs5mlsFPwz1m4eOZVoWnmycLyJmMzAFJp6Jy0bBZXhEmaWM68it
nJ6cvnwmGYL/l611FeLO8Vv2HG0QG9il4ROwZt5YyJfraufNm2Y42cvuMPl4fzTkDTtkuJOoQ02w
AGUPKQWCxIGlNf83d4Qt/hLVxBiK6AL2WMYZgReG7vLsfn48pEW8JMX/j8iOsi6Z6/EQL+qewdnJ
or9DXzzvjYgJSh9esR9NDOurG8dB4Ju0/s08zAbD6/g4jSLc9NusD5xlPAm9MDAPVjAAMctRReWI
GCAR9sxh0IR04GgMs0NtaVvPnWwstPSKucyuY0HftJ2EcyT6kNESmhw4hoT0alIyZgzDMEvcgDyR
PGvR2vku5YW/bpw5YAdBk5Xk03dbeAQgp+ZGuOFPkqdqLPJhuShsQMWgAmz3thL1De31X3QeEXhG
0xMaUGSYgQsaiKYzeqtqfnTMBK1S8RDoYBE/1kjsSlgvlWW/kdE27Ej+3qHfxh1DBbFt8Za4ATr9
ueOIFRPI0c4WIy2L5kuB1inpjVfalMylkmkf5M4z3ZgfEZRWBGnuK8kcGOyz9FFKdBQaCZgXGRss
YlDraOB5jXGrZzx1ZJBs+ta/8rrNOvLDQ9zVjOeCaaWT4dGRREHjewvMPAVbOtzUGCrxNvp4cfiq
xEs7ZDTadf9QaPeb8TAtDpQKRUWsAIZAufF83jc84GvCwXpNQBHNUMInFI1iQghtfjaZMCfTi0dU
tuG72tA3ZGBuLCJWJnFbRHtHg45sVanjOObcyfzsml71B0czyOfA6mU7Zcvp1NoJCxgWZSQxVwzk
g0SfutjD3tgsjLA5LYgpBSEunfI4+uFCteWWSCuouChQcAFIpK8O4U3wmCXkSWUzUHHNY7Vszk6a
r4IsabeBqBIadfkbPZKVHHXywpTuUbr6nErGfl5ir7WC9ASq75ADsMi0g2Wh2g2kQCSCm2HCg2L6
Zcchd1TcdgdtUpRHQdmt7Sm8hrEH18HoH2m0hGsawc85jytYUOeaDL5x7Bt1tgBdoYU7eYpfw1bi
7atIvLjaJUmJPILGSgyWIWdfmOwuetSsgnZMrleCTtEFPlemz8Rxn6XVN+ipTAdUfPU82gja5jCj
tzGWzirvrL2PJe4gFHtposCEIzccdwzPAWkg1yoAaA8TnNp+9u/gHZznxLmb+m5bGcYHifVXDq0r
dhtoDI7N6WnMqc2j/kdvFw+xyfXPa9M8k3x2anzzaPecUF1OK6Vb5buiMx6diJUZvc9dKOLigNp9
ncn0KoOC5ykgKB7RJjkgWAiEYSMcWzIjLJ5qdMiHSaW0ylcjwxpmhqMCrx5NYPUGMs8lUQoq32td
/qidslk1qY0sB20KqF00aWPmfITtKUq6XzSmh2M98ByHY7NvQIhkWj8WpLhfd0OY3EDApvVuFDdA
oGDBt5vKT15UDsfWRyfRmxE2pIowp3Pn6R+t7p7Cxn6nYab0fNITKMU0LEHWTT5NgrqQ69kfXjPX
3XRtxKG73SNtv53Hlql4AUNRItVB/lKSnJQ/11mPaCELP1Sg0Yar8TGjU7/KER55CN0WRVe/y1jq
CwO8c1tn82bqE3sbqwi56WjtwccrDHMNapbs0hfREy2R9TCWMwMYZEqVnf2gA8l1Fy+VOeRYW9Ny
ZUAIRZoyvIY2u4khTXWtjLA4+CXBUKGlr+jXjV1JdYC88mCMLU6MaR1RN6JCmJAj2B49dgExjN+J
Qr5B4ej0DxpHqlzEtlVJzLYW7TM2yKsBREQ5rdwUkC0kYNtVGwRbnBWoMGf/mRyf4jgXuSCkKWWN
nJsK/Tv+CLo5x6BNsq0VYv7F/fwRpU9IdNv1MLFoJs61iJELgCtaec6+HUWCKh/Mn2YllbV3UgvR
iEyYljDAkFadgjxD4ODG9YW/RSfscJRElz4Mz1WIjLOxO0DTc3ei1QZBi+12MsCGc61UOP000nee
8mYbyUFu3DB86ZrwOmJqWsWhem6qei9Gi8tPJtrqatZ5fPSafK906m+dZCo3SaVBu8A/NXPzYgZU
fpwjGZN19FVn560KCaAR6DgQxeCpXWVp351dr0BZFn86gLGy+DMXGCFyjTaE09QzuJeUbN0KzaY7
nOyoeTWN8DPK04NXoQKbIuMFjMWw8q1yQ63f6205qkNnijfUSE85ywuBHsEdLTWQ2n52CPtwowbK
SLKDu9D/ltJGhxnUvFGC1YdFY+qjDxmK5LZ0krcofkNhkhG+jRdRMFt3wr1VjZDQEvvw+2cH1Mt0
YrtdAxl5GtEUOCFHg8FyJ/Dda6Z4zIbi4TXxBlSWBhmKvcRbWPuCEVE3PxtdhmOtTw5FmGWbkf9e
YHWaWvXt9h4S0ozAIkCSr+W8JGyY7tbWwtqaojnNrHH0Ikw8p0FwHusQai8vRm4Zj1qcvSQVLiBd
gQbS8XNiU645S0DS8KM1SlrF/psdW+6bUV+R8DwwI6y3DBVw8xpzuB7wtCHXz/MfqjT22OI3wyQl
BNBg3LoVgxIjtL4SadanbvooWu9+GAxgJHQRjkY1vrV+fGmTCEwgjprCSNalazxPpKngiQfjN1SI
bDnwgBgiWJptIAMcI+5VhXGxOIoalY9B5dqIXeS5Jm3TpFkKwPqPP9yZUYkoc2ZynnvluDrvSgfE
bKAQ0nSzQV+HRjraXaRyfNzuNBIOR7Al//R//4iXBkUuSfcxu35YjX40n3qUkjB/gz1KMzy+mUnA
g+b83c7l7TSq+QQtYD7JnJypMJthiyy/MmhtEtYRQmk3PoggPMcB6YTAtm4TK6xZO4uXOshhPRLV
fEojm51jYLqb+IleKWntO8e+qVzzBt7rphhs0sVa+0baCKFU/swtzrYrFEaUGFxXF3MacZksawNc
EvLf8xwwUGpQ5SKm/Orq9H6Yc4dGdvHlWtmNTx5oSu0xT4RRRuMNx6QRzX9yP5TNc9GoR63SMxGU
X/UwnlMb62ZgfwSd9y5O8BzfVB+SGZ+XX3YW39stkiV7yCl/MMBL/BGcMm76zmNf757HDh9d3Z17
vRxTRLKR5szWRzMM4TJaRfJLjEmxmLa8ypzCmqrC/J26bzq5ZjfBYMRi0GMRw6pl5TmCAB5XuxDH
HiUk4dNglyCsdAvaxLOxO7ld+eJxEsLRFDMB5kKT3XMG91ASIg6QbAHFnX7/UQyA+81U3XLuhh1n
cMvOHctYNrh7mjRwPEwF0TrNa2+l6/JJqpYhP2eV31f39z/9vlcIZLU26RRxznbiLtlHFpwtEm3y
0+9/CkTn0ObxMDolITq/8MmzQfO5+fzTLnML1VlyBBwGLp7uz9AXL1EQ7YuloWFK9S376ImC6QDb
C+NX4eIJjZ9JMU73kxcuYm33kI7sbgUC0hUWOpII6O+gz6Bw7YnU4iE4/sZ1MrBomblTrAswZwbM
gq1rM4+ehuPvHmYrF48hQ9AYoVRA3uKKUKTdXHdvVG0cj0yyg7z5xiMBQ/IfHNbNLWR+ax3x9dSt
/O4FDbnF2zX2kmFJzQdobRiJFQE88cwUSXDEPPmUlyS68SCSnbjV3rdatvWl9fe7SIxQUVUe4hGB
1ygohYWygZJ77vndVorJLO/bI26eYDMuL5dGzrNlTduQVDqql4CBLm0uJN9P2szeSRriXAunbGVm
8rOJgCKO8Gjb7OiNfD5Z3yam4ayHGLmbbZoEq7bmg7QDemxoBRHT3RmAK1dhye7qJVaxRhtnbona
A9QLBXKM510HJbBvrXljeSRoe/Z9hHCH7ZkjnEyrj6CNHt26AGgp/HXtqIOfdR+5N+ET7+0jIXkM
69NLRigqCYo2ssrCXicejjCffiostZIKarljMA16G730Mb2ZqI5k11t0DyBpVSidRgzYU7qOzcCl
jUA7mgEc+oLCzI6jyzPeLW3FoQT2Hg3jtfUZT3l0BIphOldWzHm9p1HhyeY1Cqo9YgUKUbN8sZBo
Mp6DmSLVcK6Jx8Cvx6491GJbOhya6LkXm7z2gWkavCnPaO/HnlyZc2fxcP++PAkrTZpAL/Ei+d5y
Ibb9XLzYJluZpDM4uOUduUMF0bbzsIQoPcxiRMsyVzweyrk1nACZG42TVHOaDsLgwVjU5SO0zHXL
t+JLuhiM43+kXXo1SKn4465TY4J10ISVPXI6GUaCuSzze545PyT9H40QVXPzzOifuL3Q0yz9RVAS
T5kk8A8BCS5hYwnca46Bi+GAl3KSpaReOjHI+K91zQC6WlxSOKVpJH2lxJoX4jHp0fwtAU2/v9JU
gvcEPLA0KqeYZxRvwRIAGD6VCvx6XnLw6ZOLny993CX53mtgT3CDb4eWOIZxvJXM3pGgUsvlqWBo
b2Y2aV1zyxDOuskqhOU0G1YuGwXeomVza7muv5vbBc04OtvDEWgP2QJ0eAwvL7YlqhG8u/mSyCW3
NvAPWLwiPVgtTJZsUrSNcvfYtQOkmEm+x4IujGVceoumRC3LU5aLhyhAfkT7nu048c96sJItM3H4
xD0W3ZzwXgIg2kMYPSZNk+6TaOahRRdP+VV0JUBeWapdNlApzOF4tNLpWBvuGxlU31QFOE+K6NTG
6ucQq/4I2FSipp6/cxM4KTewm9BYM0L1ng4YqOuI8rjgRRR9M6R616Hy97lDd84E9rue3RRgJlj1
5cajf4HTXJ1/z2QyQ37TXuEyD8FTmtm3RKBd8RvYWw5QTZa3Wx/bOw4btfp9j80C2yEKODQM4AzT
vra3qFyvTSOoBEr1bc6stF1947BUEriR25towoKGnulsI+/b0LA3c/SBNka+sc82ANvoqxnVcVLI
gs2ESxeWzSdukJv/zd6ZLceNpEn3iVCGwBIA5pK5IZEbmVylG5iWUmDf96f/D9j111TXzHTb3M9N
WqkkkWImEIj43P34OsUN03NXE2kc1Luec1NPkmTXWgHhDe06R2MXTGr7KEM72s7cz/yE7e81xZgb
8KUnG9WYU4kp/MRiQOoR3AfBz7oSLYL5A1Jbrgba17wq3I3xPZXTt6YeAh6x2xC8Lwf+tb4ZMisT
Q1xJ7BInjjnwrMOD0Wk3hXmjjI9l7Te6QUN4iXVnPKgKNChKwXtsdU86ROySiZQwEkVPFXYZh2MH
RO6Iz+NNdlSh9KCmt6P80ogMoSObXyWUV5E73wZX+9F0JaUOQrPwwS772jxKwbYwTmJGUba5aTjf
VEbyXhHFxTQxfcVwrj20kIsHMzunueBcUwgMC2sgaJDtmsjz7c54qZtiA77+qtcUBc4xRZe0V2R5
fF68RD6EWeN7ja5OdSm/iz77oIf9nMf40r2V3JBkXI/OCmbQccWL2P4Q4aL2Y0vVkWfVB0a2YEgX
GjRWxLzV9QM74bQ8TdQvBLJ7ii3mmWBQ/XnJ551hm7+Hi1G71KzU1BML/qkhKn/w+aL0uscg/Oev
P/3NwD4CrS3dU1OL5mBq6t7wLwhEns0bx2INGSZtPrVwBFhL6i3UHQaii64HtAHMwDwwOQefv/Yi
HMImyboUozrTRbM4hwiyoAMKtDoHeg2enCg21K4YdTyodLTOmimCLk3JV/DEFEFlKyP4/K/PFyBf
KKY8u3dZNxvB50vYZxFnXAwyXZSa//h/n7+xRPGZmf+0UwlzwqYE3qbMZ9Wb+Iy3CkhVzp2XrhV9
jEX8IkSfZGTK0bhdTe0uTT6rwbfkqf3wSZH6zxfbI9lvWj313ZR4Q+Fugs9B8P+ZEv6NKUGY0kbI
/59NCf638Vsc/9WT8Mdf+cOTIGzrN1eXwkbEIf/xpyEBF8JvhoXt4E/jwZ+GBMP4zTAFzgNbxycg
Ddf705Eg3N8gNdmcEUzdEfyO+N84ErAE/JPes7oDXNvycEOgoLsWT4J/Hu7rkjNbwhX9rFeJRroj
630tK9FMC3FJ41R7zwqybtWIX6rrrVd34QbH2D4HPFgIYYjlrW01QRiZRB/IWoL77GOCbkVlpJR0
6msdkVTctAOM/83UiXxXEUQbCcEyuLXVfWT0djbT9iWuABV0se9YnRbMEOsCPUSB1qTA4ojzC2Zv
hytdaX446O1Oja0/i0l+damoe8hwBmx4TEz0e42mz2a2YkI7Oj6AWlLaQ7s8Ejf6RG532zKaKKJ0
iYEoPFKLTidCPwK96NrEvdBcscM9/1rDhjK89rkuJ9+S3IkQbjhLpfZu6jE6J+bie4qtILtUaMPl
SVhJtudaashUhmoXNihHocMmLCK2fGuH8UfbVA/aXAGjTirouNXYH0ZNfu/s+d0trOZKZOrJsJrq
NnQNZ2XcEmOd5k+zzX7cbR0MZIm3hv9i+07gYmvVTvfeuuGvumK9lamX7ydT0lRtZSwbvcTuLhjq
pK1veP3MytYW/pTE+2QY+6ttqUuOlfeYOPVWZNKCjjf9ot4hvY299qGt8OHSWO65TQCuT1v1XMR0
WVK1jPnbqi6UpAkGVvgf2Gv/GvkZT3Gk/0g6T14bAF+w2jCTKR0uOCeRl3rC8UctTnGoSqcGTwf2
5y/33H/jd1ntO38RLj8vZAkvnJtDh50s3FXF+otKlS8WFK+wlc9FnWxSPex92+wxwU8Y9eAjhEf2
Bt2O7xvlWfJVt4stE2og0pmVBHZktLfBK6utVgrATGN5GNNBAH+YbNyxA157TuCeehErlXiZiSk6
1UB8HYTDQrARURKXniA+i4/7mgkaLyrOIriF84BeeyDXtXNwGyAeonbiralVy3nwRnyb+BK1tr2C
Nj9EszbtZAZ9W3bZD6dKvznD0r63XXzwFudtyHr7HlUEnJfxqwEeaDu0XKroDGD7TQ4TYr63Fu0i
mGyRYdRovDQZIevCZNjHvsN7/tdvOKySv7/jlu6si9CqD6LEW3/T7CsXRZMOl+LZqRkYRezGaDia
d0ztzAsV5xwQ7PdCReqWnae0Gk7JrD1O1fC101ePNIzubY1zEXRQ84N8LwmRbCh8U+TNeY5xK6UG
3WJxsk9cJvvZ+oK8TyMLzMVdW0HqTiYASg3sSa1PzEeRlMc+at0gnr6rwkoD2gbfW07YfpLFjzWV
VuxOHXqW3fytwQ0+qoli+aoUBIbr4qwZ5sHtlRNkDD1N0oePthu+KWsyDg2pK+ocBAiXgsOlE2O4
XZzqy6i32IWq4pAzXjtY7rld22RmYHW72puSzeBWX2K9dR/laAXo0rmvL+ZPqj/WOlzBcXjcgqqP
D3RQrfDqpHybyVlbIXzpXKeA0tK6rUmVfO9O1T5KKlppEz2CLlN6p3kd6o06gmSEyJPlkRUkhjjy
HLpmOtEwMePIMju0KmM8Ulm2EUMp902FL5+GtA/H7n9A6zqnkUnBvPWat2X8DAj9mHakZjP6RYhP
pIeojO7gDylkExSVoLt47P2Vjvu1PyRWsWUO1JwLvSVaR63GEDGoSiHxYOAQr7JYbr2Fuqq36bSd
p9Vq2cbj3ovc1I/jVWqInJyreT7pS2NsDCLZ26qq/TqjkAIfr9OAbNMilyfJwC29DNV8quO1sNoo
A0dWW+ReOo41Oj09d9wMGQzM2tFcSvLQtdQK71pwUz0zs/OZvc/4ZNVlGOz8wI3+s+Oo+NCAUXno
Cd5vQjf9UXBoo82mMQI04qzr9AvXFUobkwdjSc9MWrfMdqtTz2JCcVBxoUm92M8rQ7lWioHjkt6m
+cmMcusx7JEpYYUfSJwRF+BEdJCeU10+XxzArfh062DmJ8PHlVZ+kTPa8+zuYmXhDE/C/WoalIgS
gEz3oiIr5xrM7+l0Qaxo0d3hUzIWnfxEN73NkKg0MFGsRwNaG8Nj4CocKTyVAqSge/7BcKvHTrY/
eiRv/18vA2yO/2kZsHXdNTwpdNMUsCYMDDL/vPAaagiJqjnaPSHrR1hYSNpJaKrE8Ibyby/HxbOa
J2q+g3kagTo6vYcWvok0Jz5ys4BKQ2I5EaezOdBye+XF8KaaFrIPj/cjfWc/qUa3n2NGiitnrJ/O
aHgPmV0HbqHJg0ZAapdXuLs1DqJ5ZHbX2q0+Jo+QXL1M/XG0uZI1xZRoZIN+hq0X76RziG565zg7
QzXQEQ1BCUHPCa1twWgaZP4ts/hdhmZ/ilSPj86ADFrC2D0thiE3jVHMG1Wcazwl+7JhhGZFIV9/
op8dv+qWbKRnhN+n3FTEtaz8RM8SHPkp803PDfTMMS40WBe7UWNgZps2iEW+PYBEzdjN3FhnEw7S
ptOx5CdExnn2ZNYBSCpCHGrcvjOp8cCMb59Ajr4NefSVkvfvUlPegYY1SJ9SnXJyXNWgQCTalOa1
oKoigkd7wLzuzrFIkHtxMQZNSzNPhUq+cAOfpAfyQg2kTeMQV0osOotmaJPO1DnXKXSZ2ZfZqTrF
io+3m5JxSywvYQFArmv4RLHg+XTtpJeOU/sWyixdx2pMz65Kf5YOXAQO9rHmRXvLsbWNbmrt3Uj0
/pzV8oV4Xoh6cRbgtcq6ys/9Akjy88Wfhv7Xv75q5XpR/sXmxEWLz9d1yD9LA2vvp6n0L7uFkaGa
ppYmvLch5aIe9UynUJKeWzqj9XXLeKua3Ne0ZboP9o9k8WiMtPdCM8ja0ar3DWTqQSuydIeswi7Y
mNptbJTGPkqN6ZyPULK0ZSUQJMHUSQ3Hvfuk2dn8xS3aDs+mHt2rHIBBTHvEwYK1HNdtvrNdbFSV
3dB/4zbD1gImf6lL1jLTaZY99aNAERUCKvnBEKbl8l0S8YdqSIp2AoLfteZlmJ4KZoHnKYSSgnHO
edA6S7/bnO/ZRPOhcRB+4wy8XZxF+KO50HSI2nu2x13HnfOYAMvfAhRyDo7dbuu41/b/+o231vPE
3954az3bCGnopsNR/59Xi4LSlYYqPOeeSZCoMGWmK2Kc2n8Qiw8fiwksjW6h6WGT3o9dBykgOpVt
3J8rW1ib2dKSe15ei8jG5t9lMxWnBAX7tHrTQ91GaFEa/uPBu6I7P/BcwRPhCvtaNISc4yg7CXYG
x7BUED1YMlbrq+MT9ORMYA9QNmYzfRG6fctS90tTYPJlSAkE3giLs0wh2vE4fyYc1G4Xsqh7dslH
zWrDf5y0f0z/oX4v/5utrPD+ZsJbr04LHVoIcoqeYf39TRqR6ZvFGu07e0SemElq3GLx1C56HzQR
NX98zw9pJClx96kP9H6ZOK4ksAoHtMR8YKnTgLngD+wJCdrTuKEefuWN1vTLOfRMFakntl0iTpLQ
5UX3iI5i3CL0URTy6FbxEKRdfHHq5L1EM/bJhUb5AGSKDjLyleI4GjifXNXvO5l7B691vs9Rbvus
isuLQ9tuM2H3qUwdIa6Nz8NAFLbCitToybKv2DFuDTefkNWS+ZpZLHJpPOhw29q9ps+ccLzSCuqu
cM+5XkLDDUfydcUM0ya9giOMPjRh234Rvw9a35yhtu+J4UUXR8Iy6OfIetHFDN4hXeQpbyvSmc3M
QhIotSYPY4gVFJAPwMzG8WBMe0ujzgyxkPoU4r8PXW1/yJHbcuSss5vGAge8C27CKlvlj7kU26SQ
4kSjtWByqTyp+RqbpkdhjTF9RQ1dK12WX8ZmpgspQnIr5bnss/4eLzppu5DoflfL61KGDg5CnGQQ
hj56s2XZaKeNWabfjWnqvrkpNZ6duzzUNpSUnD3hyFb8MRzMn5h9YDIzWprDbItzAgZVD/nq8wlk
RcWjywJ1LvX6GlPalo3CvTU1OBUXEM3OMrZLkbVXyx6Pta7JgJwy0mUpgkytajQIXdoA8VHLI149
9Wamuf0g53gmbxYFjWSIifX8Pe8woY+Td0whnWwLZm+cOjVKyI243Q00L+07zS1Oies8dtVrbuTJ
ra455RgdFb62NwH+ZuVR+SE2BvPUYkLIaywPo8WMOCXH6jCK22LgBGuPOogrOk9fzDiIYi06164q
91WbwSxef+mqFn9T8sMs8xKzIbs4bimOvXjSBtcjipbytluZcWa3hEgwds8mE8E9wNbwwekIM8yT
0i+8ue6/8e+ymP19qfNMi+OoYLr+ObD524nULUTet+lQ322AL5uJVDVujd6h82FZG+Td+yJZ+pHI
rBs2mGcDjB+xq5ZY+jjVhzmsI7R0yY6C091k2s1pBb7s4vBRy4sny0iKF/BZ0uiWJ93AqBObs8ew
ITJewdNZpA0lMHbaeg6gDF9QOO2DjhWNrDvrrIl89hBnoKIpeeWTUFhgCT38HNzhrmem96IUDdJ8
zNchJYhOU1qzDxmgbHhmulgdyAwamB4O7HAhcnsaLYelgAQ+YpF0NAnyTpAxxqm7sICH3QOax57w
sHvSFte9huQM/J7y0YcKghPfWBU3hJyTNgMsqL219KtQ/Rfy2MeE4vMXIDQ4SBUiJU5jlIzqaaDo
ioEMpE5zqWs/jfm+mTYlL3n4LL31T+uLdiHWmx09q82OWGoNMqGsbrqjnpB09Evo6QtihHlOQgwl
I276GzvF9xb32SaajfQsa/b5Q2TlpHiZgXu984NGW0xvvS43bRSrk2My+q1KPCrmeBLrdkYlkHkz
7M3baiDDZrNluqOQQqiirKv1JlpLUIkZ6vZHajEdSEULu3kIqNT7UeTAZg/zF7V9Rl16OGExC9On
1h3ciIrIrtMA+2Djsc1Re4uHzwLsSj80M0N/h+L4Xc+mY+X4nQrjBUm3BtkKqjgMaXQJy8Te9TLa
xiYOiyUf5cNAL+8+BESFLUc2XDp1jS2y6lMfkB0dTyp5j6jZw3iom9sMx9NDoeCQlZnHGbYNz0Mi
5yfeh63dgo22M/Fcyi492KWpgrgq2hvBHBxsXbJBUst/COvGEzf8ppUtIfWOO1KJkRrRMjYZKIan
0MrTa+zGpI767DUT9ncGNuICzzl77Wrv5KnlXtcZ03SGmS9Z0aU7JYC5yvgth2dzAx5hPoaRCRKm
SWkvaOmpgmfv8hGupW2GM+EE5vhtpb/CZvwua1c+JW8GWkIQteOyn/wOR+lTrP2Mu8hFY23cE01x
awlmYRJ3BLMk9NJ9tZYsP8iyq3daksFwGDl38Rh401o4O1HHszJVpqRqUt+aEc9funnnB2PJ45ds
NqoNwdTkqOzitVIlfRZ6QXet/jKYDVue0oy/uEPu182lWxSIf3rb9l3Z/RQkmk4zLk4il+CgSO/s
FdVlV73o4qdRdbCvBrlXFn1Thl3Nb2nIZcfmKIq65aOeUEC6dECwttHxZ1ZxCG9F6lvFl2oiKWpJ
x/GNxD4P8CAeHdyDJM+n7LGymuee/PQ+8yhIKG0vuyx9jbYUMp4c4ok9mdbOgeqT9yI27J3LHmrT
u15OPhpRGTb0WqUnoo9cODVkmsF5hM3EzKH5yZzCuJJ19bZTDFKpSKOFgFQmD9ZAkqqLxT5Wnfvi
gwY37+xWjuBxQCJb0WsCXG9XKZ82xsavZ/x4Q2vnJ1mB2+45Pz30mhX6uea2e9EACDZxx95Ftc8J
Ou/0jqI2bGvx8pA34eNkMzilUCE7ogrCmLfMMLDSvOGNiqG5CdpaUVhxakwwHrt6fKY8NrsY7gxS
nuqIPM9A263b5tn+hhmvOXJ4f17COd0AJEsOBYHhaxyjXs6Hqk9+ZKC8YZi4dH7UKPDa4G5Hh7bV
smw3Ss4hQdN6uQKzJ82F0PkwWBabWRQpfxHmF6dAJGzbL45YDF/P5+noCTYJaQfSOwVFfBVJ/XVh
WLwjA05Tgzve0RA83jTvkZulCRK9H69ZRRVdXZi/8OYvOyyk87s1FzfVYN7E9sOaZqXNPYWAictR
EJP+cJmdbzvYnDSN960Psdn5x5Py/5Slf6Msmba5hhX/Z2XpLW4UafVvf9WW/vhL/z/vaq8SEl/H
YPzqGq5gD/JH3tU1f+O+5RjhOewlbM9kPPtH3tX0fiPPaiGC6ibnX6H/p7xkyt/4aqa75n9cg1mG
/N/ISwx//kuMie9vEnmVSF/rrGjVn/5y0KaAtQTCoYTfLfUTibMaFHeR7Jyz3cWYpBQ0fzDGB6dG
RV6cU7dysgdxkDkU0IfcpDN5Xv2Eo5hN6oWv5aCgu0yYP6emCkqWen9I6eqm5pIuS7oMaAucYSMv
7IkxhwB7xHmXmdlaf0GXhhy2oZjuDi5o1btBzXFOGq+cUoaHFpIJj6tLJuhmdqJrimumea/CCSpj
pe9ND2vFrKavY/sYv2Hwov9jPFF4gDPWqL4mrfo+xYz0cnxudKTdY0Oe3bYVW7ZhpF6P86+YMSlh
uxD0QpHyZHSG2Xdcb0NNjROMuqKm0wDuzyblhvXJCNrSgmDj9NvUDmmxsaKVvG65R4QOgAMOzAhV
UUHvzcuWIMkvhxWOtg55qxtAzLzTTJfhWSVTFoLMT+4c/HlymzZ+nni4JLH3ChKRYYIxdUHW0j3G
x3ePw6HZK9OAHri+sPnPtYQgqz3luyanUbGkOQGBn5FwGZHwMfQCvgIFwWtXUmhReBBIMIHbhk3t
R6KNar8k8aFbQos1in+/YZoQfLnsoWTUHyUmeSsrToSafmFsqs5VLE9ZzY+dkwgIDAzMNhjnR6Mn
y2+HBT3qNltNgTmEQZbyzVnFt1zvflbj0MPJSRb42KH3NluzoJ0DaMIsYGqtiuWYC5CiIT79RdEt
Aq3Vd5Mn2rqMh9yDdcwR7zbMTUh1CkkYs+k7wi2P82qR7TU8SIuJJbfiqT3zTnmKRRRTHP8US514
EhoCSCTR4MkVx2bS+HtDdii9rRXBjuDi/0rFKsa6Jh0p6Dbe7LiIwLXXLVpF4x0n6cfQsTZuppNf
Wt22Sfa7PXovzFIPoyp/Lq72naaPcj8a6bjTwxmzl4UpA6MnY9K5WCMibnFuxNgEqFDlPo7cwMXB
DfPQ3ub8WMRrUwDGwtynCpa2BmJ+y5GH/gyLEM0MkKbB/QX3iNOgzJ+rJWn3pZi/T5Mx7hIjaQKv
H86EcNIDCfshsCdr3BZGAkAtcwtMwbw0Oa1FCw/edYxQYVWeDSwNgmivSLugW18sYlv5mNg+dKwi
mGhYabwvlp6fw4agUMfhJO9+pK57UIjHD0lDNx6SloPTbkJoJYeKdyT7hdOYFPV6ycYtUbESY6sV
lT8zJ39vch03a7ZTfd3uJlLMZHlJpYycrKTmtMHnS6hlx3hexoPdznXQRk4dEDtb6IokRlWu5xd7
k0Qa2RuOOL5XOVsQUAJnZX1J8uY1TTo/aSZgMiRqdskgMa6sjV4hvW445AkVlLFqT6XePjW9pOkh
kVdXJhimU/ta17aGEpBttSp5dOoGNJgdkd4BnNwpNeL4xeliWFhzumw5dqW37xBRj7Psb1Hi1ZuK
UPPDUIHbmEdmstkItqTVSt/ptWYjWwvck0URIH40c98MOsfukSM7AjzNIrRwf/47Y4bpKhpBR3Ew
KHQyvWYJJLOetB1qwTc3arHt84eEM1R8qunsj3G9WX4yp58CY30JF46W4z1lQEdoj+CR6DZFvbSB
6bjXSjm8tZKUVpnkR4I4m3ZyZojYXCO1JnCAkYimY6UK6OtVB4c9G/zdb2MO46yfxaMaY+xjLAXQ
WdvvQBZjGuadGTqfYXMt1U82NJ2t5vAp0XfkBI6ZQhUykvkOe/TMOShCP9OWQ3cslWweSaSYV4Jv
mM+dhdrSneTi3btT4wRLpV6aaCoOmQeYMhxHhxUBH+04Q5m16GblYBAYNm3d8wg6Xio0Y7qRTvS9
x9ta6kwR0uPng2hqrAuBm2o7q2I8T1P6XNDscwjb9IkAe3PFclveGzpscEI0b3NTsm7V7ZfPXwEJ
T/YO81z0uvexMMTFEK11xcHXbOpMU4dSpMKHbKMQlBTvesgxTnm6Rj5HWGdRG793QxTkTYnKQjG2
ZcWMPrrlmxGV16hJ10CNCUlgZFQT1p5JmFo+uGBlT7NeTWeaATaTkXaXPorNfbEY/WqPqzClm/FE
65ZQ7AxH6E2KSnOXI8zBpUQDJFTHVTeFaltY2si2Fs59S2Zps5TSCbjw273XrpXm4D4fVfTdCtEF
y3ollzeI2NHUPzbL4rLk1zGXHXgYm3vqUk6AFMPE3WDfG/1UuEfbLp3A8JhVUVRwbjACHJxmLJk6
pWjjln62Q0BSGjDNM2fNAfgVswCsLvB6aFbbhVlI0EzRyGO0yZucIXEmTNu2ox32Ac90enThXFK+
Eb1LwpNn1QMOrNA/dmk1Sn+aXSPgCOY+TNj+n0ndWWHW3iBH3CLoYkcYrRKOOoN7jjD4wQWtr3n2
szB5inQen2mduqcxtvqjwJgdj0L3R3ZkrBN9yXRU2H6mYbMWVBdfdL7W9vM3eAuLnYNJhEWJOE+c
PmJJe0yWfnguTDBOzCLv/TpXiQlNXqVXFJcK1CD8u+Se9Xq8D/V1hGMeNc18C7s0BERgjJji0+rS
CFCJSfo8mPjnHGsI3GnptzTOdIHrxN03aMWZPmpBtCBJmJCSUXpdbBN51hM3gOmqN8mpGyxmhUMl
p/totkfH0R6TsfSerJGYL6JmcwLZZirYQuTQiJGY8JlmPlUyBmzjhOdDo34pgR3uhhzvgDtn37Te
u+MhzW8pXQy9PVCP4zrzuajOUN1xNdqhEfTOdHG6gXN2A9mnVNZtcdpxD3a9n0x1dK1BQXHiDy2S
fVkVjl/6xVWPoisOhVF7O7tzmR5xyTJHfeYjIizEdHZWHVpNBWtUaB/YnJlWe0X+So06GI/koEib
nsMxpR8PmQUw8HO0NBpq1wh0P6Ttbc5FeTJa69lGeHsgMqHdIn2OLppkaXW/zoVCyNIgfaRg3/ye
pBrhRajWKYHtSnP612EF6Perx1igdLz2bmqzZoJWX5aa1gPuttkt69dcfCy9aHxFqigorYc8apyL
KG1Mj+7aamQ4Fo2IoIHB3i/PXRyLM/Va6aHTS+M9Ng6u2cuT10FvFs5kn6suPmmewcO37/JzkiyX
sBiY/bZMKZiZ4O9fODV6FPdQ2RRVB7zS5hlzh+0jmZ31Safrze7M15rra0NsfN5FUn1rOIzc4mTE
dIUw6ycKAFxrjsVhLOMS13/uPk1Dc/OS+WlYPBiRkTHtoG70l9RZRzH7pNGyU5XMyd6oEucVNPRX
lj5U/7h7jadub4JU5UfnimMXBvV2UjW/jLOzw5ApSUptg72GRHHS2x/UNKbqK0DZAZYWkVaQ4BF5
VYvKXZ6Qt7k3794MiJAFHzJ82a4D2kjubaAwB/bNzUFrAXjPkF0CNdH9odEg5RMbSLdLCmzXaGeG
XhVfLi1oj6Rw450BQ/mgK6d61Q0GgPlgRT9Rlrj1Kve1WRz5AEdcm5zmtaBOAWDqxKpeL9WXNsG5
XAgN5dbOjE0BlQNgc/ndyZshULOJw6ss7H3R1mR+Ea9E9D0Zm5uNq5wq7fJKYQ1Dp7mCTRkTK+xd
2Mh1RmnG1HHQSWT/FuWpfgzNItvaDHD9dMHfymrHMkWxQEiNNlD83xli6Zt5dNg8kS4zAWXRSie5
OnhfNQ13f8Hg5Bg27zMFBUAOFEe5niL4QZPm0c5ny6eCb8s4WgImXtKtyguauXrH/YjyEE6QtJ/m
eYDG4DZUo7UELLycInennq6ll3zjq4SnopaEAhxqGGi5Mm5mNLS72BsVas24W8JJfAApfgBBeleT
AsM5FAWW64iiLF1vj0LwvifKwmbozI+wOAk6Fy2q+BLlW71C3M4iRxzsrPuFbS96TlPIqCaZ3aKB
/JMz0j2i7m4tbv/jspgXlz7bfU6clZ2a97CMzN+HLHzqI9vmztF+FZWZHKV27DGBq6T3dkWeNj5A
1GXPhUZ+g6HUJlej5btz5Vdhq10MbT4nPD5bFntAb+QoEheiP5j87ARbpN4Sit7HutQu7L5u0PA4
GYEmQIhqjzwkiAH2uNAL2/4ejYvYt4kE/OdVpF1U6xzigdiDRkDtMmXyKe67lxFN3mf76+6mgZFb
JtW5qsmZdIZR8pVpW2twtiMvElGqzV926PSHmgTlluhtcmO5Yb9RifbeJCDDiYoPmxyjH8lcGsao
8Qtx3DgVlrOcfAI7jK0M1XXK3f4afmEEARDdaxs/Z4jx0E6Y0dCszGM3O09xq3X+NOGgVEMM5kgC
6IQtgszNpNEmfM2TiWqKHoZ4GDkfsxkdyNxkr0Wo3zRqlYs8yqlArMFI1Cm+lwTsL58ahgZ+NrIz
23Is6p2dAuB1MOwHRV2eNKwqO23kkT/m6dlbrOjUpwtvMsqcRvDxSXO4MBPBjJ5IhFl1vy+9VZ+Q
DPnXF/Jbo1IS1tZQb52i0wMcAh3iwegdBVZSlQAeb1rZP6UTTasR3Epox4pdHxFzUVrZQUvUuBtm
gq05mdgkTUx/Dm1z66IX+LZOg0E9549xNLi7ilH+Xki3CyrYy93slSd7pkihp1U5tNe4cZ2OZycc
b2ROaLBegA5kSX8ZyvRFy++4H6NnHHrxhWTso47bIaiG8q41KAsuQTeCa5p1oe/zDINjQjhyzmUk
vVtkUxq2BlTzmpxdZ1knzfmpl918MqikIhNS81lmdaCXzyPGwyAd+K0Qw3wvM3UElBMfXWPk2G2o
U6s0uZ9bM3yxgPNFjlfupqX62uUtV5B4LBongiPwwBSn3k+RcW2HEPh62RRXcNLJxtSbfO/ZUMnd
9YnrhEKyYuZM6gG5bzLVP00OBhZOlLqv3BheKa6HSDpkrRusDwXo8qF0u1MSm1tRCjaIbvsyezPI
7Q4HoMy8dqsP5OkNimgQxfMKa03mt5BSk85OvvKoJnBGgWwg+5GKaOxmEUYeeKbNkQ6IV8D30BRn
EtvSwJqFx8AI5GumAT8r2bnUGWRZDwNf2jpQF9LoTYISPquM+8ng/d7zCHiovlNhOT1R9ZxjcRt+
iml4icreOiSp7Ztjbe/m2PodtsTvdoYXMRf5D5qkmiOFsnsEa3nhMAyHU1ISTG+R8WZaRxK23qvh
Fd/SEe148chmTqIiOdwzUpH1paNKhpM2CMxe4ETDRlpRItM+8058WG0+Hsv4xFYweioWpH8eP4wS
so8IXxUC/3uoFhu+PVDPubbyOwEuMLtqPmpOgtLfv1HcTGifOoqjHZXQnTUa2bQ15N2IYrcQ/n8q
gT3A60UFabsfvGyXKt2kcE+fo8SEZDDstTFi/+s0XPHDSCrcgBbLdumGbdCgAXlG/mDsJLX2kFq8
o/PI2DCUzRfpEJKNIDfvIlDVilLCe6HFz4QyXXQPLTz0H3hyBo7v/X5sRLXl/yU7Bm3tRiuqva7t
SdSNlIvYzAe7itWto9eMQIYfGUO3wRhGBCZfZnBPONn4mPLNJBn4DeJbveTl7hGV6X0YKVBAReFR
2BP86hedkM84X/vRtR5Z+u3HLJekaAiEbGVfPcHQcel1pFbH0BBIPTKNdVPFX4xoOHKgyr7+P/bO
ZDluZNuy/1JzPIMDDgcwqEkEomcwyGArTmCkGvR9j6+vBeqWVUr5SjKrcU10M2+mUkGEw/34OXuv
nU3BRi4BXx1D+HPmMgl37IZIrhEezFyFJs+WTkwzds1F6PRfHH4sT4X+NyspsILVCpJWPdFJ1bL4
0Mftfe7M5l2jmea6crTMG03aHrrbdMja+aEVjj4P92RDWSPCfc2Sq4oaO5RcDWb5PQu49YsA2bhs
eo9xbXgnmR/vhrRuOf0JjNDdyDqjGUSzP+GpabFPpzO22Co4pzme8IkDvbPYlZ0cZoeBnofQrpuI
ZFkkA/muMbvsEXsg77+Ktl0nH6IBX2rVAnKJuk3vWo9FRYYN2uqE51+F1375JVT5G5L47N7Cxjdz
61NBidluRHDVu5yNjbi4mmd3xyZOwDJVmOgCTFQ9qlBjgeyQqYQ+CmNcs7DigY1hOHUJtqqZ0xYa
K6xAZKf1RHy61Yvo5G2FyX+MjLc66Ha1j+UXg8GlxrMNoZsdy23Bl/bmE0+5J7qhu1hG+WX05R66
6Q7n1f3MOUidA2Mid8yzhVeQVsaHZePTp1a03LvSCR8xxJor6FN0nwPV/JARw+qiCDGQ46hKqXhW
+WRc0NuRoWjtuqE70bauV5/zzlxvPd7jp2CYSPWrnsJUMmWMtCcyjlzKzi6kdYtlYg5DXrnui4kc
G8XmmWAr0mTJdKIHoIjocxnRjXH2gg8fCHdZvFj0RjTqDWuAwALqjghaaH4jv6ss5i9GdBeGVApl
+sqafJOZPtJ/NBFzqOZLG0qCt4T/7Prx12RM5I4411M5dQMxefZ64ACAULXSGsLtZgM1kBGLqzXR
OKVHsVJqBESZ2nSMeKwypL2iXW0B4tUaTPtE8+05mAjnAdNX0iGQnVdnxk7CxSf8PX5CxHMw0hR3
uYWWoSu02ZM8SE+gvO8arVoX9CyLmq9Pz+MvHf1BInaVT4lpMsTmh22z+UeqOYx4Z88YOScF+K/y
RjkbQegfhN+y29sNcbv0Lz/QbX/YWknbmPZBUrLVThPAwgzdpsBqKQLl2W3jroHPc7WsvqvIf5sV
07Z6TPie0tsOAQ2gN1DCwwbPzdF2q72Q1skg7GwtkSR3gUGyypQvLl/7riCkhaVG1kbfDntnwCE5
F82bnzj3tkDxpM/c3pnpnSbGIcJmAOweK8aNm4I2C5fpiKB6rGdNdKrL8muAjEbNpCpjkMzPwj65
w/yhp5lG2lALfCzuTtYQfQRyaA4J+mv6d3exPomDqBxETuD4Zcce5djmjeIfmUqQtYhYfZ2UzXe/
sobLDKc6E8HXwZD9K5UKcApSbq3I3g3+8GxTc2ODC0Ia3lR2hcmjrcsRhXHZVW8JTkRGvXZyaSda
DhW6kq3Dz7ZyCcpoLTreiDBY2T2MeoPJ7DgXxsqKJWlGgWOSdGzcEiGV3OTMOzSzeyYr/Kj6g433
8A1hauxl2g8tNuDBzKw4AKPBwYIZA84j8vQ2m9ioCLWccyxFk43f0uq7p9Ad4V2UzR0IWJo2RnrT
msjRjbTvsU9TmaEpdwDjmNWjRUk7Co2TI+c2Syz4nezJS08aYEhkq7a7XFYvXMnqL7EqubeOPa4n
UDGehVsE0BbWYEDl+LLQ/6E/m+XKzdqzY1o3LuoYqjux7u60BWtsMFTeCZsuDAZraNYuOjwVVocm
5OI59vktEblXNbZMBqDFE9CEermR92ogMaTIHpFQctt2HSz2qYTCgVtrY2h02KtCuzOLW9Gw8eKi
oJ9bXOYhveKmKjfxQGJkfJvVsKIWW5wXKgj0TUwWRwWWv+nnN5AfH51BLG5NWMCae8wH241o/WKH
pHYgzuUjGFAU9eEZGM5yqPfT1g6sYt00AwopEuY3MN7rratCewdIah2nQYoUGWt2Tn3goFfZSvgy
k8/X1wQgf+b4YIKlWeNZYLnn/cqo/R9+NP+YEinvLZ1xDhFO97BdoUsmHApL10oqQOw2iV28PQC/
rFoDMfQ2gukgSTJ4Da2Arnu5GqvxXkxOtWkMGOF1YJ2ySLvLk+bQjmTHp7po0fMyv4OidOsa5Qcr
IsPX35PHcJYaeC/y+pJz7lJRMFgCMjO3T0O/AAW7ub0x0/JAcK03YMaAU1ohXCrq59htrwrD7tqp
GMplKLqYBFGhq/QdaXK4ojP/PBVIsMa5EvBwJ2Pb15O6scvWm1v7qanIZ0n8gpxZvWj2dURolB7v
OOuIbNbcD7fIhtdUfytCKFQm/YD9VEH0qSaNrBaEsWxNjb+vDp0auObgZ03sF7PKHm16zhvfbcaX
gWTmEW5O5Ee7OTPehsIH0zCHT6KvgEQIDX6hbTfkfRrBm0BZpsiTu9gZqnkDDmq4cGlrGEDRa09Z
eYaXsJ40erCzSk/04IG60kaYM9huggrPLXHbI9nfVCZTQmLW+ROMq8Yeyf2QiBDf5zwq82Pgq+MU
VoKZLsSvEllgJfmTym5SgC2K77klu22hvg0l9IysBNtSJIDvxUjpX2WXruKJtRO8E4wiI+q5jFnS
viuMYG2N3VrvZ1zmRHMwvemuraET4Rg7UBFsZrj28C1TYX3UMn26V/D6+oZ9C7TbVtaY5i2F78nW
hhoPmb12cMaERndP7ietKrI7YIhs6+RAmuSMeMc50FKfMasZu4DZGyiPbDpYTbkt4z47EnH+4tYI
WtGyNw2sg3a0H/u5eDLa7kHFNuDjBoyu2gfZkB2CXk/uyp7g7piyEPiM+xCUvX5yJH25UPW31pI/
hLvwwuxLlecMm/pN33LI6rg47BA24WRwlUaPkL/mIItLxNoyaZw7cHF3lNqVN4TmgWxQcasl+AWi
krMqi57B2xk3GV2T2vL1O95hCuCKc4uDZt3IkuoC7rKpxuVCP4F7qMmCBpPlDTq9cqu8dQDLDTO3
bg7WqRwP5Mfc96ZOXSir1+5rlJHYSLLWGwrNCI5eNq31Ln0gEpznhpdIck/fADpxvI42pFPQogCp
7UFKSQa0AtXkcvuZEdtmBCL61mTc1wIHZQ7cyu2hXMus3zkaXw/CGN99TOTYnV1GDFnd6dvBR2Ja
p+XRSTR8GICFo5jABhTntgPCPi0Zj1ShfArwH3GosWck5im2Kb306WZe0IkVkTy0dUePIWS6awVb
XWgtlw43IXtkm7Gt37ftsrdHIbr5sTrPrlF7YgKGOTMFYHxADc/CDNuPuBTCs0NknSPirFmwQxei
GW4H96MvCRiO5+lRFSyUwBwGxIE5D8f4jpaR7ubMeDLU1LMV/8AS9R0o1k1pK7kZU6gVToAXEbMd
MOoI/Ogck74xCPveDuwDSeIE9dKhdatn+mvZsTXbZ7sUPbEVFpp2AAtllJkXNyNBZPC/JfYS3ppb
2qEC6O6NA4FyGdk6lXUVgn20IV/DmZ3r6NcTg3XduCGz9mBgsONmDFxC1MXXuUMJb85JsO9tRyDe
b3cl0NLBp9wlRQTSTTe+90J5oi8hhdnvow1ss0nfCX8nZByJ7BDOsE4KffT6Dk5dF82kOnXCXJsm
wd+FFt/iucHhg+mi7i+O7t/zBLfK9+8wklY7KLX7vvO9eoBW4gdo7li/6FOn9g4EBZMri+CVHqQF
eFCDcdhwELN5SzATrgun+64lLzgi6ACTyVQr83ZOxmjTzQUQTkA/vXlP7/cVx2Dj21wuG3PjjJHm
uUSg73vrLnfa8HWc62GjehxwbVozqOZWv3NyPVhj5922UXkbExemFdBn9Gn4xg9EKhpxlruQlGM9
v7r3M6kOTwy8tpZyMK211q3FCHFKEPg5kgut5fvXJLMdmp2IytmHoFNDfzeSasfyOauqhm9tEV3d
hlcRBWen0pqVMEdk+dbiEkUJQ2jWBibIos1d6DvOhjnHQOghX9BMTcKk1d3BxJ4hpTOfD+cZsONM
dpZNIyNFhAgVmIv/qFZxxu5awLsUaDo39IBWsQ2KpK1q4B/DTNFtVJe+CF8Z+Sni5N+KxNWQ2diX
1LfuK2HcaLp57So8VXTozlaAjEEY9IK6LHh0x69Zhuu0nAx0GRB6BXz4tdKRC5JCkJNXz/uWcxxp
2KRbs3xNQuxWi7aJ2jWlLGqGflP0aKi1qd52rIhdjSfeM6uu9EJ7ELvRIV1YhYpEUnvo0RNC44Cl
s6Vp4njc9pIbP5xeG6c9k/+enqoMcluAJyxt1TGIAJ0Irl1yHJGgpLjQVdtsu6geVkLgosxc5gbM
n9ZjTBZlmDdvXcjlKXQzMOgMV3x1GH10SWT1bWun49QcXTLs8/fln0YDoUWEThEGf+LitaG1h63y
OeaTKzAspaIjMaitlIhzwuF+bJtnndHmHGqPRdsPN2mJDHkPgYaTvD4LFPpek7j5AbAvCZXq6kbZ
+Oin2kaECVFJxP5uqyrcBk7Wk5ZYVF6JPZ+kTASHWis0D3l0t7KnEhUqg4ClBDbsz1le5HE1J6pJ
4dPIgveKy/XanMhUUogvu0VDO/YPo6BIClxJULeOblPoiuSmBru+SLC1lhJJU5ME9WrCC8vXpssN
+k8Nsz/ogCTozvZAU9SH6IQb9MFC9rGhJ15hlsrPftiEzIvw30aUXRkiaSB767xHIDUkxUW3E3Su
XO/Bdsw3hj+eEr6TBVe8dQI62GY+vA8TY2eC9nhEzlgceocMSZJywNxviLsocalUxtoUAFQhHy48
Ic1JbI8AtXITfPGT8aXzcaNhENCoiVqX8IJjGnaKU+4U5M45nNyR21Xo75a3lvzmFknQqOdEvviX
NidCsOFrsCLSZ5dLw4Q7cV1b26KHfD3pvTrUm4RAsVslbsJaJwHGqd9HgaWa+3q6IQSqPhl6cOli
OrukHH2X0xxvpT5+C6EP9VzVzLh3d2nAHdnEi3uPa6ZEJIX1iujzWKT7mCFMX2AibAtscTaZn4lm
Dhtb6aiOgI/mvX3VpbWLqLi8kLA3/u2yJ7dORLCO2gtixuhg+BHFt0M4e33JTfpivPkPhrm0bkKc
5W176kxn16QMFfox5D0xSknEUwrghlQ7dHxagopnfoj9ptqp6qmbyabUSdvk5I1p9DZnvZme3Mx6
ig3ahRPKfAQFXm/TNEr7qVo19rtbGOG+/2gn9ToxfSCfBvnOEIkruGuyCSb6Im6kPkInhZsXVYSZ
FtUPxESjtgxvc0J30Ldj++E2YhfZU4MHKY3RHG8qB4tSGzT6vnPnQxqpTc54mUorn8krj8dpo3FI
HGMmXiT/jSARAzLuyIjgpoG4xUzz1wRidJnH33IrO9bQJk6mYurkUgSOHFcNfdANd2IwZv30PFXn
pp76Nyu0iNhOdGSWuHVTl7/uCby1inOlJzeSnjwd5ofcLe7Nzmgg9BVHoHhMrQP4z25gcvkEu8sl
2Xb2RcdyouyqV+ZUFu+1FlWrAp6Uxe510CJ315k/YieWJ/1rzv3U0zvNOlglwk2VGeE6QoLAJoCW
KzHmbRBa9U1YJZQy4kc0wuJk8PkodJ/2gbJfO9ntIuxad0LrxB3dObHqAxrDJmNhRns4IhjJ7eiv
15i8AICNvfWqR2AjGd/qAVfukPghLHhfMhENl9S4H93bqM2NF84Jfu5YjfCQgYhac0dPxYHJa6Om
SqICDEpbrVJ92iUYfonWohcrmo7bErgQ3FMcZGlsPrf9m8/I8DTrdbqbxu6eVZTt+jbybLwVqYbt
SQLCi1sGTU15F/Wz2jg1fqGK+90qqaMXG4c0gImneswuLX3ibQ7JEc15vQkZ56EoJ5Z9ItiWMNQH
lFF3kz9VEDpBaGbpdVLOua/yL61N0ohy63Vi4ZhqE2KzVEVJbCjGUROK2LZMJwb4JrlfCK4yH6qJ
XX9t4iVOeFpThh+txrLYGABIT7N2348JJWTpMuwOEwhZ5tZqIedJlUa4LZebAX6cHZJ+CizY+Y1f
wSZIvZQYL+56A6hsfz7PGXJNOCYhb17FwtbZ9yZrP9nZfMhCn2IVmwODZ/bUHsHhurWLj54D/4i7
aJVqbrTqYtq70shfSHKBCer6F9QoBSTHcNrTNWhw96akgu0VsspjouhnKBcYE94MUaB9cduL3vBO
mPOSqllZjNb8bIvy6iML+2qXGKTL1VnPvszjNmvaTQYXddDPBDFingsREMf2rUsB5RDnTfOvRBrm
lDRYQl7ByZXnHMp4YbuWF/R4CiNLOzdV9t2PY2LNtsaofyFUj+kcNPW6vlrd1J9qu24PWioINQXG
AEJTrdnbNpGZzmizHLlPEcYQ0dPHfbHYWYVn5aB/VWzdhm2PiJE+GkcqF7gcWR7LbgW1BFpgm24Y
AXEbIy7uNDM3m8b4WubkCpiN/2Q072Ihz37qgdOUfNM5amyviZiAYjaDyVvixi/xinrlovnLo+gQ
ybTb6LH4Pk/QbANzkSovSNCJPlU1qeGgla11yOqQQFAGhAi4Y8CYev2Yuka6TTVhYHtgvXwO1HoE
hMHoJ0e9Gr2k9ytOkDbCL1WFBwscNDQa0q876J1aRXNuDJ9l9GALMTOR969ml1bbT4lnXoGq9xto
aA5BEKM06MkvYktOgouckZC5TnJUptHv6HePxGdGZ1rPNFfa8rFZcKr91ApighrkE8MFGnKz830a
4KuGQOhjbU200f3g8PlxfMI1uNohjkvih6GGmMsMR3oZwW+rn+pvvHTlEUjplWY32RClKkgJgg+k
977u9SBe5jXB5ExTmWQknmZ1951fTjt8++YUo+yonGKtk0G3ajK+VTWFUGOES0vcRYAW5IZFSGp1
kQgCtoDevpZOsR8GXg6lEfqWhmDp3KmpNq6LnbSvtvDewa6r/QDu/jA20DYSFmKTZdeOc5jUwkVU
Wiy6W83O3ws9Mza+E1opHhXXg7YbbwJ/+rIoMRjT2I+zDjMhy1BzrjHhSMzkxb4Ls2zTzNqboAPB
eCW/b4VveUOX2xte2zM69JixqPGWz65OSNLySzUUhwhwSBkWjScDahjXmMGiShhvBYYsZVwTnYTb
GNqZw+Dw5y8kwx954cbdvIB0hyR6VTmSV6Hf4k87DRN97S4YjzEuo9HKmdWhOQn4v+BVjhfMvk+z
/W46QY+qA8lw6sqdacHIK6V1SITxI9B6l2N2QvLn+mIt05iv2SFHLy0ruamQOFFmJhSSPmklyAfh
uVrItlsxPJuGMHcVm5xr9/khpu9+9BPfOWLi8Izc1uCKCrGmJ7VoacNJfaSGsUgY8wpLIksC3PG4
NtrynSvuizOKkfALsjYE2GGpdxPWOab8ThHLbdVWV6TTwybK7KvLdcDiRkIK/C4LyEpOc7qa05Se
6DxXyJ14+wCLi4dmLJ5n0g1IE9BeVTMa3H0XNGv6/qkctqk+fmqdJ5qoOxm791wcKJ5IcUgWc0A7
J7uCmFPikYMjfue8C25Ra+eIMttqHVMLB8GSW+7n45pBszzmUB9AFR6RnW51izeh44hmvCU8zaWV
WVpWva3N9OHzrRI+3RAo0c2m1EMId9hY+W9vPpflp+r585e5BjiW+pdgxAbRavdA/JkKLJ+8KKuM
ILTpmQiafkvR8TLYRD5x9ATbyYI3Bt7hKPxO3w1NJo6dj+5u0gkd57d1y6etcVUzamelABuIT3IK
Qk+P6Y2PalhOh+lLKMzmqFUB/wkLy0uJm4A8aI6Ywa8uFkQLryr819zUzr6Ko73JnqT67JriT9iK
YG7Yk0NSKQF3fHfzgXOuhiIJlIC3V2XbXtFUiw1t31bL6o7JIAj4yPoit29D0s8MEjR0xfBnkCkN
s8DfVTP2/ckkF4d6isbcCHORgEjXbz3SnZgPI9Udv9Eg59yHQEMEsM6XwbsXmGwJmjEwydRoVkeB
XAf9sskZyUMnug1E+LRJbjthdetmGhGGRcG1TxiouuDqkX9sbcQ+GNkaXjdZoL2ycZut/2GH+u9I
Cb9ZrLFXm5aD9cakKyfwvfyGoArcoeNiPtYo1OPvMzG9Xmw5+AkVw6QptMh37lm/Bgg88I+lQQuF
qdmk3l3aeLs/fxZ+069+bz6MNIVjGVD+uIoY1vJh/2F1ItB9gsveFHtdRz5tW7LeplOG5CjRz0ZZ
PXAj8UK/xl2J+opWUFgz8DChKAlnRrdcBM9F8ZDwat3YUZLfLEpoWs3XMkySW0WnLO8bD39xSPcJ
1vcQOrlnG6F2kZSTsZ3QFo8i8wh9oPUwFjQ3vrQRUbZMOkXUwv8AtwAyh8JpIDgjEjK5tq0BWHu+
LX0/+sHk/kPvdWcvjDJEl4vUiCOn44VnHqtnMG1aDQLgZG2xBARw5SP9Hhg0u/vQW4c0YWpgFdT2
0qL+IS26fAwkRtEhFluWo/alQMNrVodi6aIMlXZrjAwLs3CMED/p0cvsUlqqNN8gHcGhEgaHWDn9
oZPtwddLdZFR+WrUZFgEoVacsDGD9fTzq1bWzpE2BLaCuhe35ITDuKgjtkmLwIbeXE7M2TEv+jJf
zEf/xiUn+JkmShowM+fWbW4dK74dbJsuTMNUAsmtuUtTH0FbETsHbKMzU20oLwZb6YbGD0BbbC3b
QtNfU2vOrhpOflml87mgGe21JSmAVVT2d+xLoAkQDlNs1B+JnwenEbUvHomcyG4j1W7oHH7jqBDH
ZOJjElYDUlVkzgkE2A5H53iD8xjs0NSOYHhQasJ6uOhDVXyMIR5R555TIn9HaBDBBg73TC0tMk9w
SjhG+Rz5Y3KjMaVE1SZZ93B1Qzlz0NNaLDLDeDSIW6B0jL9gO9nbZepsULVhV+7l/JK5MI2jMv1h
lgZ5MxmLCT/KhH46qZ9du30TqRjofdIKG6ZUP0tVZwfpZ3fd8nex6geaHctf5iyos2m0+LFL4pHB
J5OlbqNVoyPItF8fOwx5gW2MgDv41z9/T5QzyeqmPPz5L+q2Brqkn6a9r+hKID9LjrIFdtrhZVtB
DqMktaKOqY5lHkLgElei54m7EcjcxoaWj/MsY/QDOYPo0LElSCJ7RjObPhRTUZ0Ll9RzPYlJly7p
pc5UUqhAILfyTuYPzXBCO5Td6Zkd7EtlQkF3phvXHdxVSuqKHrbqoERVbw2t/l5phAa5dsMJUNDF
wO2VExlZyyv1Jqpq/5JWLP2u89H9hobcBoWPHYoHe2kHoPDukDhnvSZBJmuljXlxmK/oz4tVRsjj
wZcNA28f114PJ13AbLok1g8AliSwoKSxRBtsGnjGG5SZFhlG+jb1Mb4kTkv0NYArxoIxvcDJ/oCf
Ue9BDckbP+gewCCV57FXzDHFuI1Kc9i2ZY1tsZtp5cG28nhmwB/kzCiXRg6hJWhoCPz2RwVlmLo4
zM3bWOnD0SyKTZoU3Sk2688eU8sdMQOrXYQS3/swnKA31h7D6XqLYDTa2Wr+oMVbrxH7pTt9KvZO
6sATCGjL/HlzFr/nC2IAtZSU5BlaUAvt31mFSS0MkEh6sUdRsKb0rddS5PFRB00C/MggHD5Ovtes
YxwzKZIBJyrQvxPsBKI1ujF67SLADW3yHBMJs5YfdBP/8hGNxQn7DzISxwcf0VUSF690zH9lYzq1
osmHBmpPlIy5aQKMGoPDAA+tl3HSYecROpHF3322ckzqJCSlBtWpZWp3PSQuod+nOa33kPYhUU5O
u+vr0T4rxGpL5Cx5P6ag0c28ip5huWoo6Gl1FsZfTkGBdfi3n8LRTccFZyh11wQs++shWGpI6fVp
LJCN5dVZBtYdBryV4vLhWcLKz012LIv+JmAPpIdVLRk7kokmgjx2nwF9e/kka0zz7vjOOAnVXFFp
6HUzPGF/XhLyNwQYz9tB5qE7riFs0/3X88aGqPmFX6OEjxVCqCrAbFjqam84g5cHFQ6ZZvg6BvV9
1Tr1a6u+ErbR3tiqqXdtjrHD8cEOmHnugVHVdkXmvuSVfcryabxxEHFvanK2GVhWLgW2YaxGn+AG
lZfWkbAIhI0MQFdAwMxdDw3Sc7NsZ3CnePHV+L2fL7BSxvuyDNBAp3IfRK7CLYvUX29p7yQ2wgg6
+xHdpD1BHcnPsur/G/L/ZsgHIMtb+X835L9EzdcC5EP+iyP/5+/6jyPfUQvs2WAtG2DlQLnxAvzH
ke8a/+U4cM9cV5oOTu/l3fjfCdT2f8H8MqQj+CeGbS+Y5qbo2vB//g8iqKl4bJjPbA2sVj7hb5HT
f4qgFr+uesmbadnM6ihS+c8JZf72fhpCD5MOkws8FY4B22/Hi2yvgEHqvQUpZOsUfXhrocssGUoe
8qAE1qRPm8g29V0nh/M/Ht9/V8D/Sjr7+XFsQ+muFKjblVg2xX/UzAkPpWSgb50o1BB7lGG5jY2v
/WSXFz1/B9NfMifJwOn15WVwh/QvqLVfd6v//PFS8XRd0AXomH/9491YzY2Lb+pUj/6Xwum7B2v0
98zQ8tMAfXozKMLP+rIFOdn/7cIglkf9fzb8zz+cpcJasSzkvbr87WevsfYFHRbOU5IN1nsBN4Rx
Aol9EyDUGDXOI2aBE9KgpLDnoxbH31SWHhdT7SluZLsDHVujYF0cTUMz/w3r+etl5ueHE8pivaE8
cu3PD/+PL2aoEFzpWi1P9MzqTdxUX6y0KhnQ+WKbNQyKOjr0KzrqNKdyx9OibJd2S05rbzykhTYd
8gYZwOhs/7xgPg/q3x4ab4NwDUsJR+Hj/PUbGxn0ZvYYyVPY+3IXVP4IhbbUsfS5P9gJgyeJhMmk
uvZiCHpek/YWfaSM/OUakHKyb2Jp7M2m36IUmcDotjbQORjCgx3EF10cXRfy4tjVD2ZB42myJYcX
Y9bToMZvKHcUwQlfVIWGw03kPponuqBRULyp1n1CLyivWlLe8ZIlZxetuA5j717p8TYNjPLYudN9
F/g/GmDf936hcSFqHGrW2P6iKeNFN3L35s9PS/wa3bp8i1zYYVwyB7OVTWnx69OKRUgUQeDLU1QU
OjnnuBcUpaKHLpzIxBT03jzC1o1ArSHGrr8WYBnW/68fRAh2HuL6BC/Uby9aEJt6Gk6TPFlOOxwZ
8p9x6ptXJrm70mgfJhpHVjk1XH3koW3JSHW08fHPD+NXEsnPZ0FlJS3L1uHn/349jyhrNYWz4tT7
4Q/N2CNVYpDVTQfpuncS0DTf0d+2t3/vtkpnx8dwwf9yJPy2WvU+ZtRqpBJhnbUfa4AXWmM8FIFz
V/iZto1hkOH3i2+NFn13Mttnhh7o5IX5XDN+/fPPb/x7v1G6aRAaoEzJF/F7xrbjm4KRtDBPRdLe
FMlg3pguolHGB5Tf7lV3pq+WrUUe0bX0iKOh33IFOgt4UIdmzsGWQx8/c2Y5K4Yx1nHAtbtxVXo1
ydPiWh93OFASCBpIw7K6mbYJlDhLLGY/ZK1/qd6Mf+/cinaLjjOHzVMav69s36Cg91UigQZSTeVz
6V/qGjegNYbZbuQ6V0GFXgBV2pogPXlg1E8K7aTeTNqA14Yp3FBiTQN3ljOjIXDTHOoEHQGmi24w
AY0Y2u2iG/X1kAYWtpuN3iWMoqbA3qY2kz8uiXjWyybaER5f/2X7/fW68nOtSmm60l2Wq/2Z0v2P
3TdJXZSQScm6SaxqP2olgeOLk+7THV71r/Svi82fl8eCCvrtOFKcRsRBCGRR5r/aV2Pp1EWN/+8U
LZfoLAimO+iLd6Jkxupatbt1SbDdham5cNH4xSGlRH0jyS/7y6Esfj17OOjJHec25EoqFPvfb2oJ
RY2I1lI7tn6ibWncP8jUTbkuBsmaftG4M3B8bUvHwU0baCb2jYaTsKnB5RhNt+NW6gVBHTwQhFP/
5X5j/bqjLp/NdqjG4CbxSkvzX/cbtNaGEjbKeSTASkvtjbBA3CX9AsoM3AnJGClsfDbs/EazhGZ4
ZeY7l+VcCYYUr1nFfSjoTe00WBEmtDHaW31AvJJbnRLfcnd1wTLOc8vej4OzcanKVlHQuJvR4DfG
E01NRBOnUXTWzVilwdmNK3HrcJfaT62D0ET693pACmvg4EVtrGNb01ci2ULfjSF2kc/rfxJm0S5L
AKbXRbahPEoghkcG1rZiI5hv7Mnr0e+GfSSK4vTndcZX+OtKsyh9bc5wXlzat7g+1W+HQe6MsRwz
E1N1INJ1Y6knfQYAV0TEzqo8u5ijP3Bod7oXay3sHT47WBoVr6nQaPt9cnTimHOk0plXR44VrvSi
AshmwuOINeLhlySeiBT3LWXXWyazw0yQG2sHxURIWgdMKWUeXVvdo4WMdmkCZBmQfI/Gt8Wlb9jH
3GlidATDbRXAwgcPZ/BlMw0KZTCta7wrePMlFKdP+kfMpW/+OXr7SQOJU9NrXBt5XW1yyJS2g0Rt
rulEliEj3L7fDCWRIVFoEsAMA+c4jHtS6KfbHBChn3bZyRiCfN0aqgX8DwKqHJJTW43mmuyJPftG
hHjY1HaVGZN8nb8Qh9Yf5jC/ctO/sq9BeqEsopHxNkXjZkrD5gFhIla/EE8rML+RnEHl00DCj65D
q2/ZQy+D1hZeX80hcvCSYEQx76o4bODSOoA6rcDeJCTXI8Bq3Js2YFZZuBiNAUuMR5l3/rqaU7m2
EVh7eqbBBMKDEFfGq62DR4+CLl2b/fjecAg/pOkbk/ZXE/jFLKKNAHHu2WCUbho5FOt50F/AfAUH
ZgvvXdulm7KJDXh5zKwKZkC7xk65dNsQndusN4/bIgeWJ+lEH6z+NupMdW6g781j0WMIatZp69oP
Q4ABrQC+VTk0cF3sYUyjpyeUvOBaMOEalh4e9Ex9z0eyQ5vQrTapjRDMLHDASNGR4hq2wV3fI9rX
OyY3aRO+Jfl0kU4Onjfqr7bBdz6YFPJtd1Vkm90wt1OrAG4VWjUsS0kRPjK4tMlQ/1/cnedu49ia
rm+lMf9pkFyMB5gBjrKcU8U/hMpWMefMqz8PZVeX5erd07NZwAgHaBi2y71ELa3whTdQAbSgTGpx
XKyBMFbgqTD39pPoe2kg7SE1EBNklRq/HqKQ4VF87qqKYFanypy4H8MMMhCuxgsf4tV15RwEJi3r
c5sVqJskV3nQmheON8KnS2iFUJvbJbhFgZBpXzzWCCGgzbBGQAQaftnfW7FH5d7rriXdmIvYR1k1
k8H4say3Cp1M4BXgl60MVdIBvxKK3hvWmoAoVRPPKHw2qNqHM09Fuj1CvncBHYEmw7jCiwTb5dhh
pdp8p+TOd9sv0EYa0mf0POlD2UN6C7nvmpNMBTkxoJAj0LXWS7lHcgpkRFl+k9gaHxzxJUjaezv0
cQlviSwEmfQ687TgAmDe1egX3OZ9/lAK6NZa69xWRrUI+hJEW4APjm3sfaCxSz0uQH9IngIft0nR
fRwgEgC51oIASa4hcO/6IN9pooMPUdrZpnTpfY4guMCwrxtNy295g+ADg8LcOqqz02ynv6ji9Dt8
9PbKxf5x4aT4kcl8qjNqbP6jq7PCMBApsfv7qDkPhYr8jlvX5nN1OXog3qdqibEdLvfA8kRxgzgc
/IY4hjSSYAOef7dbRbqK9HJXRhUtfbPB03345srI9yd1X8JvF8iQ+sVn1MhBRZifyrT46isAulLd
uzFSgByuA/qgt+zwCtQTSpwmEP+SF+xSM55XOUfgkFMACGs4ZzBF17LEpyXHyCeDl5aBIkvBJXW4
jwXp8FpvUfMs0LfhIEifYkIKCM4hsEclu4WkWwJeDC+xyXOuVM8IkT5NHuTOc1aGLfCtHb56ei+W
QQ6sTpHMaJs3GrJEzdcCQkgdl2s7Kc05uVEB2Txo50ypcelbyqYvHQggXXkn6DU6lroyKshSml4E
bLu0RAarIg1NVeURoUwXq+VHENsQsyIQUrivXkpK6HzMNW3vyl1Pdb8PSaN5kiapxV2UwWxEV9/+
CCY7vUZ2MFoEAAoWiScjOiWkBIk2DYJnNIwcnk8dEdoM8bdiU4yGFHFjP3o9fPm8bNaiQ+oW18Fl
h9jJIu/KDq8GvX90Lzu5IbrW5HJmuvK1n+Ll2LgooyqBu1I0cuq407dlmUtbbFVvcyfnf9fqS6cs
rStpuCrQ9FwdkrOEzHilVhVTVhQeNpyUq9cFSIp5qw4R8eLDUII76CBBbG1Op7vQmQGs7JZ0l/SL
PhxQBMV4AxuLZhXHfgFYp3ykzGXiFWyBtg/tr05spPfxYCfzoAoAk7eQAhK1E58aTWmgmIBLlDic
wNlzQ6glUJ+SBnMrmm3i4NMhkQ3NWj2vlwleSuQMC8/T+mVqhB2LRL1zUY6dGzq5BEYZHlsXXy3T
qFDtSKJHU8LqQJSXfVNIGzvN68WszNz+oh5QoVGz7hbXKxTw6GR5pYOQjSp9oKGrzRxka0cZNVxX
asChoFK58wtTWkb1qJVPU6KTJFjDsilu1DasZyHcIxU8xue87D83kV9suhjcIOjdL1JOmO32I1BQ
iY2ljOzDIsllB90UwNzZmFxYUB+f+wB6RWX68kWY0iKpu5EbpyXf4xLuhSXpApMQ864yIA5ZpSLB
T8y6VVxbcOWr4o44fODlbHeJWdIKCVnvIiq1fIEwGIAgfZVh0H4uwdvdCrpv2AetIP8gOg26tVxZ
QqYLHBrbtu/ILgUUM1tq1v6gyCsMl5CZ0ZDurrrusikA21dBUPA5wnXwOoAUJS4L2FFBoIIDfg4a
IrvAlzeaF0PTnnMOywkpsW32Jvk4wigoHi/ATRg3RZrDMk0DrEk0b1SmU+QLtYmu7bp4zlXRf/Xd
MQDDNglDq6uu1JZaGNTXJSrbaG+GMH1wZwhyQaFvyNJ1N7Y4LTRqFiq1VC5/NQCuDfYSuO0YJ4fW
xhmBgk0MstIqQdvjOKmi4RU7qxj8x1UfUXCY5bmkLw+vGORevc4MqBKh/iVylRaBb1ueU8nDYntU
OcZG1QecVKiXWnQu6LXBCOz1recl1tKpjfAKHZ96LQwEr7vCkgHKSytuRjS7BntvVtZ3L23abWlp
X5vEeM6ygHQXVHniBMgK2fI3AJ9Ax8rYW2DvctvEFdCyomP9q/YqK0SBNdxwKYvmOgFJsnC16osq
2duqg0LA+o6VbK/pylc6Fuwu1UC/uwvWSudzd2hPKdbnAKrjz3UaekBysWSWU+g/inGPLka3ciwd
r+TE+2oYF2MxrPPQTDFTwMGK/r1LMCBr1PibZdafEO3emrKBfDb+J1kauwRxWF63CB8XQ/nQsWWX
Jdx0mElfSysL1zFa5ct+hObnXbVFItxZFVhAFT18JMdTrrS8cHAiKq8kFdVEOQH8owB/fGwwyZ1h
CPERIZ1Zr/CxtVX/Ve9CA5nKDpPhHAiODp/ObdIdBK1drQQbkGNP+hKxP3TI5eihQX9vkYEMnmuZ
tomLj1LtI6oT2lAL9RJXVP1ZjfQEAH8RASdHsarGzq/jw0DagRDbVnNItirg006/RnwFgFMOTbWP
ENoSGfzNJJD4WPKBdjZW456b3DVyDg69r5cKGEtHSHREM2zlep/pQWem8MMlwpGXeWeBSkSlf1a2
qE3Dsif6NRYpojWLCN7NovXTawBZMAablalCDYDv+lBnOB5Hudps0af1nYWsYcNQKhC5tDa6dauG
/s7QbRSjJ+5tMnIPFyc7PSPZqWBhqvBKGzhvUqOHy0yiY42+ECz1rNRmSkB/MO/AHPuKhErAGr/A
llg28uaBDezPGG7yEHfp8Esdyl8R0LFWmtEZ8wp8gdCTG8ks1rWDJQZ+je6CTG1BjGih5ecj0wYQ
pM79PRkv/EOvWhaakyyaQvvIxXBLLPqsDQYamB43NxJY2B+27UKTzDtL8iH9l9pKFHqOxmB+HyWo
gdA8y5eh5a2I0NGpCrdxiitk3XHKmfImk/J9D8V8NMVYc2x+KpwWnjOlJF0gfVm5KGKkLsaVI1Ib
sCFgADO90EYKQizCB7KK86EtU3T0kmrOg64TV/ScY8bGRl1yEZQC7nbp0smvzXjthM8AGvdtB9zd
w2pjVfYBuGzz0cf2eBnmHhdB4CxjDKYWhuteyorIV6JSR6Xthv5+7NzF2Shg395nBMGcHxWmIZL9
1EAZnzUFZXraPu4KDKOBzW+XGwvR6A+i1YaZDKutLcSzwJDwQtQUzmMzWhS5DwNRXUH2W6J8o6Cs
mBI5plw/ZWUAIam/ieR2iLxu1tqSvgjRCpCMeTugmgqtMl3EjQ6XMP0WST0IzsQtN6H6HDbAypC7
1GfREM1NKV8qfVKijOPO2kpBjQdGDP6D6CBqgMIj2JOo9oDpyUxO2s77hK4mTh6WAxPMaW13Hmnl
naoypuRkUI5taas7vItShp3e4DY3ypIODT7JWXENSJ1s3bxLcIqDQqRjqKtE57rxRS9gUOha2t30
zcYJVAW+iB7jqu3BoDGZY5auxfyH1/hboUSskI5rFKuWWqyBdxxSjopvELs6BACgQu0iHy1XiQ5p
bMEntGp0jrGNqErifB3pBLnQ6pmVw59J3HvNQCk6C0U9c3rkfkrckIKC2zVW9DVKE58EMm0IdjT0
4zcqXWvTaBC5+xyp1bNkh4QnFfJX1Qw0Uw20QbsohY/imV+IdYpkvV8AC/fkqlpgqH2utd4GdvPH
RM6+IyP3oauhgwStTTqsYzlgRdcut5yjwi4MbeNWqvpsJaJwPlCe3oCWcOeqbN+jjwqlPWkuKYG2
D66dKktyC7RxbapEYsiLpW4lKbdPGCwxqdmAKQ1zcMM2WEvtKxVP4MoOOmi0C5yF19TRRkFqkRJW
J69qKcFuG+jqPM9NGPctuoFdmu9121KuDAPSL8fwueITaC9scyU3BW5vcgo3QeuCa8YJrg/fRdgc
IPAf34reG7Y/f19WGnpsQ69w6qQ+GZWMcIjKvjj8ePhCUpLJTDM3biaAItca6PCubEA0gPm+zoSA
d1TBVD3PnXZbjb8rDr/rK+/ZQxNsk3aFe92Ck3RlYJ9m7rnXhy/6n98hMyfPO7cvZp1rfRCt8VmL
RLOpjY6iU1Qi5+W50iU9H3402/wyzMAa6eE8sxX6BDmeAJkfZV+jVZrVgCmkKN4kftOSJqLNnJiN
Na8lVBHVWP5KVtwtEO3HxykDHw9oX1ZcYLnZc5kE8P6RE4bK2dxZ7QbVSRBjqRauMtSHseYhhvFk
5aIvub9lAxlUaTOa69R62M8pbV8VervyGnDTmAaGHJyxtjAN6RnU7OWgIWOAslSy1LlmQr1+CAL3
Bl9q3KNSb8WwNxRl3Lk/kM3Zih3NZnRpw5UfqCj1NP1jmYtd75cokiqwfgc1mhlazgYaa4yeIPqH
pg2dFDlDSqIU0qEnbEtt8O4tpbksVeHd4qcXKr531WrJuvOpiIrSaC7HkxK5V8HNjVabSAJ8X1yM
PDHykbd6SDaYojw6p+hhXXRZXaGinsNXrpObcvCBKrqYbnBJdWsfOunMCXwJeoSy0dRWXZBEq9tS
7vSLKB6e+1Hej+7FlalWGAXBQUVARCIu6B37xqhRSyiLOzk07U1BaIEpimI+AFEpQKQpzULywvii
1OMb6C1c1kg4bYK4jzdhiM2O3Fbd2kzQlu8ztqiXu+eyrwRbxB6QSbQ0TugB/3XcUdZ4TKa3MqUy
ZFBT3A1tgJnBsDTV9lPsSe6C9oZ+WSbJg5EDEfYhF6WjKjQ0n6s2872VBSsNLw3VWnNvttDSbjHc
NJeeYyl3uncfRqhOtI7vfmrK+PqgC5kiY2Z1FN0M31xkOepyklo1yGW0X1AYjFBvq+AgdTmKaj2+
76n5ITArjve2G654rShU0lXRcQ+4EEkfomAbqRqAFS99KvKivNGi1N8MjQXEFYtiLN66r3ZjfsQY
EeJ3ocQXvHVvncVqs0Td8jxtxTmBarguLM0gQ9GMiy5JVibJbajZLpi/W3XAtaVz0VimJYlxZGag
glIqDkwZjmw4mv19Rnhfoep9kbrpJzWN5Tl2ePrGxDjp0sqTB7sPV7aU5ivL4P6vAMFepjH1Exik
y6qz3U9FhvUMJMFzI7Xu+1YrMN4yPiiRrlwonTrMDGp0CO1JH1BuTe8VIbak29YizREyOCSfapq7
W7Rnr6gUubd16cL0THDvCDGLXcfUD68yGbAjdsLKVSlD/aUfa6/KUoakdPjl4W/wE2uurIfRU1vS
jPLO02TvocWkeeXTA6ZgRQgwR/0M8+q4umts0K9chUiKd7jUYiGp6Zep04llbIgefoiGjEnT0QkQ
dUt1JEFO23pUMqk41wLKGEPaz9Mk7Zc56Q8EEOPRdoSNv0yMQzCSXqi8DJDjobxbKj1wHp2+ltqi
pxGQPkeOOvf00BzX8b03KJ/l7nMAjX4hopHeLMLLUkZeAbEbyARZh0Co63gLAM2Kz4Elk4cuUaKC
Mn8R8bQccipWSoFDZGf5ME2McB6n3rMPL5iVtFC15Ip2PgwhX09WMYyIGplYEjI4yX2EDVHoPQm0
UZaDJPWQN7A9Rq5wY+H9c66pNc5O7sesgQRx+MI+uh+04AlaLyfpyPiBn4qIuQU9pm7h3hy+S7ux
hp8FarlMqBvMgspNL7CgGxa2QIiqMw0YLKXOrEQWJU1vGPlC6PsRjZ0PaPVeNM3YlCPvb2Hvoie1
aCwFKaoGzKUL+j1tQHOKjPqJhQoSfmAXMkez7EodNriAnwVk7MqOom2J3yltHeOhb42n0jURoDcO
56vy2Oadvm6U7K6FjomaipkvO7278QOXmhQ2dk7JNAuI0mntJ6STnF+laMn+6+DcEyUxnkD82qv3
6Cl1W1Mr8eBq6VURqi8MlNIQJSZhcNPvehFKF5z+G6pw2UzUWr8JLYQ6SPl6Q7TrpC6icwtmXzaY
/p1vOjNLd/e1luMi1/PEnS4Fywadyhkp2UyOCvdKMaDPZTFSB4EUEGXhcTyLU0dsyGLdyETskpNz
VNvuz70cyirYS0x12xCjHoT8ZEoRM0TnP4pGUi/aSHroCnmsgCCR4hpL26S4b7mVS5/MvpFDClR2
VHxtyCW3gU9hXYk4ohoWd9A74Ou1Zd3peF+VcriqI6Rd8B5F6hbpSUo9q7hX+3PSzpnWB8OtgI/a
diUEcW/tGto9ahcmkho1pk81wBLMHKD428s6kKEYaAa6pBJ9DB3cakBMIvcjm8bEMcKRxBdfUeW1
FBVXkKjibdQpC5q3ztrLojUtBWvuxZmxVNEZsHRghKROyDhyENoUCcl3rCF/likSxZFJCTcfSz5d
XC29bGeGqnftdXeD12ubIZRvFRfhKJAzkGQS69ofVVYhIzuLGjUcKW1rjIYK2thI4Gdqgcm9CiA4
8eOFNyC81+B6ItWWR1QHJSrJjH2uxfXKtEM08W2bxAeCk5R+MrgYVi4CIaBYkaRyvsS2DBlfsTGZ
jBu4pSFiECnn0nzI0K3ozEXXk1czGM0UJKYQbUnvGsTxV0r2raQYvjHsdpN6Ngp8xr2rIeJRqc5z
YUh73RVQE/Fwg4CUf/XB88ygdkYwrmil5SZ5kO+Z53KeYQBJlddT4gdZtdylazhfcGocFkFjJauu
oErQluAaQo79dZHQp6licxPJYmknyKO77he7EO08g5Q8T9AhW/S9ryxSGy/DhGzV89GTCx2aqcJZ
VBIGWFYC6X0gby9LoV6bffCx8sRIqyjug6J+GrqKpfi99YkWctpO2OJmFyjGm5wUKyugKIKK4SB/
HgqfEr6fwxYO0UnJUAUZ7MZHiBphODcOL0jg0bt7sgGmzws60otWQ1aryOO1lLqE6XD+AnlNR5gb
L+oAZyn9pUKJYgWM7IPeofTcltFH3SgyCKYIwMU6QTPWUv4MZnS+CJEHHiTt60jw5zxA6D71k2UP
W2dpq6KYU3fGQ8bROCzEuLyl73rQy/BR82hp9JDxKU5T8lAu8pGwQPOVM77Pn4GIsT2s8lmGbbno
AH7PqsDLFmqtrEKFIlBLPm6bBOBDQyFDtlZ5O3yQ4vQOpdK1jR0n6slQKvOsyZeZ1ne3CBEFYyBJ
8avgevDpkVLVphGH7QLausFDRwp/gbKKADuH6w00fmEHxKSGHc5B1gQLjlV9Lhm5do6rAisoH76Y
blV9gO6o3xhec1MjNX2HDOTG1tvwEXdYGqsFRPbLNuJMcKQsWKOkFqxaxDHgYUDHbYnt0J8AJh6j
aG9kl2W+Tmz9Q2JZOyNKM+SezU0eVuZNlqIsRp0eC98iGJ0SLlsIGAtbKaMbf2gu4lp0DzEtwxmu
do+DKzkXHvJOl1rtEV9pOH/aznqoNXudmaO9XYxOOcLB5MEq2VGcqazFfJmWBu38HjVJ+gasv1r5
EDktDGt8sHEYP5cazX1AFWiPFD2lnHRAHSDtrvXaate9KvKlnMVPyYDQHEW8EjaJtQOyhR90JuSP
qjtA/xmd+tA022S+P69DC38g0d0mBFxwAKi8aPandGx2OIh5iS79FKP7NKO5BnNC8Z7UlHeTNjUK
MvhRAHbC+bAK8DlIqwqXXpj6KFrK68TEGZYIsNpgX7pScHL0cLtLUKIGuaBhcJTBnqTUNHf8VKYV
TJeo4YUedTd5Ts36SUOWYF05ypWeGtal8JsNRhXRtrCybJ6KCO5rKtCfjNql0Lmh6SFZi9JD4rP2
cJVDdg9BzRBOPNRFMW9RU6VmVStrcDHf6EdXc9qDdxZn8VpYEWpkBgw+uSzAHyYVZjNGfx3DP0cH
wOHjoXrp6xkdrk67c2H3G4JMFKnqcyrxCx3i9rLG8hoaU0y0peVoCNh5RdCrrGvfvq8LHbali2yU
21lIR3TOHIr4VaKjhN734TlYHWTtMAWfpUlNW5J+uOLFKlxHLl00Y8yV8NUvTsMn5wGOiNQuA2cQ
bmVOTqSaaIpS0A31Copxw2p3Zp4GVayEhEmgDnwgKDcOlJZzsUSCS0ZeaBYgCv8R9cVZJROKpHRu
5jK41GUzAEHPzabnqhll4PGJXKkyYh7NADzKHozswvaCi9Cstugtfi7MOFk3Y29Qk1sLLaHgOw6z
oOFb8a3TkZqoreFci3oy9Nx1F1XZr3M3jy4LhH3h9MCNQdTUxdsilB6cfI1bwqLwTTqGOGbf4IlW
zJM9jjKwxjMNT5AOpSdT1WYoAa9DQ1c3uBjDbpducM1aKKLg8gY9g5gooiq16dM9aym2tjYSENms
Kku4twYuwileigvKoKhUolqOCj1Ys5z0usTtVGBlsQ1CEiqJtMhVaYlL4JTm1MZJEEzPX/kxyadr
aku1CO1zi4LxLSCqRxlUGuRK9TpqNWllVURwgZo7ayVXlsZntYsVhAvJZXDgYMTgC1k2DpxQG1ZO
AfsHi9llYAEZVPxN7MeYX3j+eG2UIKnt9pwL9LqJqrVGWooSMypnkoJER1FgeW+4QGjr7LIxCoQg
HHwV0v4CEcroOh8U8s8BRwQwcPQNwZLPih41dWO0NIUDjEATOp9we/IPZs9WsaToQybX2crDqZlC
RXkxlB46quAyFnqjD9c1MweepjrXTF46K5tiNtjWgF0BXlyJX2/BxWxctdoIO1fJcHESpiABPz8j
dw0KdF9NHDJY2MCuRtQ8YlN0UPrCnQcK+lMQ4vvbVseGiBvHWlp1fglqoUIfZbhFJLNcCrIwHIIy
gA1mhd9cqcXXRab0awib2axQzQ4z7IoUVFgOeuYfgzlUIfXGRBgLcodcrswOBInXmLO6zsVKhc+N
JCednKyhZ4Jc0b0LVPAhtlV8tJi3XEETHwsW1ATrJVr+n3ymby67OkzCoVgEmM2js/RBH4JvCq5M
P8n1Byrz4cvhdwc+87vfSZGMlp4QHYqRobRE/OBTh9nAuT8ygQNT9yLANnx7+OXhS27CTS9Lo53X
BaztFIimk5f4QarYekmDgpbU4eefvzQluTjPubsgL4/fHv6ydFhnXkWTPTbxmpu3nBYzJywwcx1H
i5Phwkm5JkM55RkOr+wdHufwLfzReAv34MUb7GAQdviSNz0usT9/NnG6WvpG8CQFXn5+oH0Punxf
tAhUaXqqryUVw9zx337+gZw7BmlrhoATLZmXp30hUx8e/PDFG9+siYdZgzItYb1RISiM893BS6xl
+0ejz9WBqk1b9SEPMaPSR+K2HYLdMwxKoeNPh1+1lsAH3dUe0DCLOUHdcOaGIUoFVFgrivBDvE5F
72+aka+eI0hlDPrz4X8/0LUzzSrWSvJYItQL85HgWMJB/f8zCs8rF2mxq3ak1n4F8n1PGWdf1lH1
J59l/FdosgQ96b/3Rz+IMn890B/7wys/9tn+P/9j9xxzuPplVfhP1Vt6j2naIMmPOEGHZzo88N8N
Ee14X/UzY2vKGaQbRYdFoesq5B5g4FGauK//LJnqmSms0b0TJCyv9GZy/tXb//t39jKPf/83f/fo
LxOzff7P/1AFDPuJbx+7UXCyhH8A/6GSqHiKHr19RTHOmBjIgroM9Pj0JkGxRxjwpCUgtDPIGFAj
KQ3BB4DvdDwHcMOAbSpQgUxYUIK18L+0Ep7SGuwPO9H10yOamzqu2n8yB+9G+LkNWAdcwrxF1TZB
mesGuOC328C2z2SF01W1FQi6smaA+T+x3cAzQ/H4J7Pw7jz5OQuazEoAPW6OywHFCpPt9XYWTPPM
goqGRrh8qtsB2+CJkyA48QxDUyEm8ZU1z3J/OwkWLEoNcLjKhjnB8wCTQRgb05aBeoZhhqGbcB0Q
DdE1Bnw7A7Zgs8gy6Clx2CondzNA5Jp8MWhnOEbD3VFo+ygatNnjOVAU5YxVotvcDghqcXmc2oGg
6/bLMz11/8fdp3/GGf+D4ECYZ5h3cyAoFjP6stzfLgRFsc947yraCIfYYXTYPq1TkStNnXw/WmdQ
80xuhpFNDUOPE+btLNjWGabkCheojoaDcYJLwTxwqSedCcI641IgChrJ0AK44/v9IOtnHBREivQO
iSS0/60g4d3l9iZc5MF56GmzwN2gyhb1bPhvUPvsdyejxX7QDaCmOkDPQ9h8ahvCssTk/UAsJBMb
IFeiIVDxa5SgnxE7GKwCKNCjlMDLrJ9Q5qBwc01dCqp1ppMVAACywdO97Pq3p4JF1IyBDEAlcioS
i5GNd2JnoyrL/zBufrepfkaMBEtj98WyeIejYMC47Y9mQZxpkEUhVUOcPMlZUIWhTN4RnH1ipA1C
lYZI/kvIaNpnxFEaGho/ouoTWwmaqUwNmzWNWxBmLKKglqqolv1uJSiKxtk4qoXAiBaIlZ5crEA9
YTzPJ10QmjgzwLEjZ/r6cb+7IMyx3GKis4JaCunmCeaRyBDIk4tK8pnCOoAf/qNocnQmsBs0Cwzt
j/zq5O4HIXj2iStBKNyCwiSdppogo+rwrrJERUGQRFJN0BQhWwQMJ3c/IEk29ZakrgJAk4ICGkHa
qNjyrrZEMk2Kxc1BfmHJ42o5tVlQgSBPPhXYD4QJNvcDgSMX5rtZMDkaKTupSEYggHGKGQQBvQUV
ftLZSDY5ZonIFFBtpcw4ZotH54LOWqC0hFaqCd8AIarTWwvGKJMyaRY0k4jIYMcraEByCo734NtZ
UGSZg2MsPagotb7smBOLFmxi2omzIOQzUPmkERRcSaYotR3Pgq1QiSSQ+Fl/ObW1ICgGT74jdEqJ
UCjHbIoatvJL9GycsQ0owZxutMCJPvVc0HTe5VhLIyBCMxwo//FaMOwzQErU4HBoQ4uMMtSprQWU
fkYJx2nngnpGJY0pQORqrLmOHYa35wKRI2h7ytv0q2y+nF68wHk1ufQ8lpnGS0K3xxID+cS7c8E0
zkxZoTL7Zz3ytM5GlT08NWbSxl1vK/TccIV9/aTfrgRbO8O1heYnV8RYXTm58rtKXfil2vHvl55J
JxHvNenGESqMdSZm9e0kWDp9afI1m/BSO8ntICg3Tl4KGp2YUa4dq0n7L8JnuvOINCL3RFtOvG6X
U9sQlMgmHo0cCgTF5AdkSiQLHA7Ha2FsUBMwvskoT+6CQCtsajOGwHE8/EEpaGNhUX7flSOiphbH
bCOhd5BpPbmEkrL5mPlMuyZJlQRCsVTtRiTCePgdHQs2xwJbhULTKHV2EBI8sQ1Bh2TyUqCKBF5F
mKhyi0OJ/XgWqC0QXNOx+tnGP7FJIOqdGjAJiq7U1ulGoZF9QCi9mwTSTVo1h6LCCd6RgvU7cS8A
3EGFkKORbX+oG7y7I+HdnilMAfkF6SYx6ksd44QaMcBRjanFd0qulBJoOFFaprTwS/oAhelM1w/v
/wXRcmJbYYRdTVwI6HATEVOpog3DWz3kBm9PRVM/M8ZmD9m2im4nmq+ndkFScFUmV53ZDlwLdOgt
9SVTPD4QxsoKNX5Ca5REX8OIE1sLNI0nZ9OUj8DqkUGYTOqI2jieBfqSaGZSfFcV/QXEdHJrQack
PnVHUGVTuCANIoVfgoSXE4HzgkiSVs2h7HJiC2FEoE2dAgoGqqXaI16B/qs66vYfHQoEERwYiKi/
xlGnNQWCEG/qFIwVZ4oFP6pnvyIVrDPAjtR0VdmgX2efHqpzPBenngiCCxLIDjGSTbg0FtCOF4I1
oj4pMQJp081DSeHkTgQDo4Op24E7EqlzsgI2PSK/7+trxMuECeOJScSI3cVr7n5CwRJF0lE3nW36
75dVRrw7BrC02kZVnPF6OF4LB1gj9+eJVpZQZJ7cnKaa8Irr/SV5lEEzciu8AnoOx8U/PRT/wTr5
kzsy9/zoeTkSPPx9+Vfkkn/1Bz8++V///ZUxcaBFAIY/+sORRPLy2i9guPHn/zpC9BxYHW/+8QfL
4/A6r//76xv89aWPXuvHu/rxy42/L3bFk9cf/qF/fczrXQz15P9Gu2+7ePeW0EKIxoL8+SS/cF/+
XPz/zcBl+G7csUsxedzCH9LkeOAD0nj6wOEuQST3xyOOH+MLsWPqyHP0xL6nReIfPfULNHjy2GmU
Frvn9O1TvyBNp4+cJPunyn+qq6PBD3SnqYMv9tGu3RX7tyO/oCInj/xK0foj/f7HPEUK/dvxtOMF
+htW4YpZ95+PPs9XPOPU51/v08I9fmRC5REjOHXkDTPu+z/GOSxvcUBETh14+7zzjhag8gJlmzxu
FPlJ6h/vyBdk1OShk2d/9+4UeUHaTB45bY+XxQsXZOqwF7+eTS+o+skDM0D9FPZH6+IFaDJ16EsU
hcpfpvkFuDB17KudnxydHnTjfsf1crUr+miXPL+djtee6vRHLsvdk1eX+6o6WtOvnevJ4/tPWEnt
jkl5L13A6UNzF5RpdbSyX9us08cuS5//suzobKIyMjIFfsfoaV28H3psh00eOk2qd2fIaEdjTx/5
ev+t2L2LnkDhjNnS1Ie+3je743vrlcE7feD2j80uzkrPP77WXxG9v2P8831R7vsfk/BCPz4AA3/H
4Ff7zn86usao5Y7tgd8x+Bc0GX+M9PrcY8F58tCY0nl/zHdFyk15vDlfEPW/5wUWu/D93icJ/A0h
yQ3aWD9m4TAtL7XXqU99E0ZEJMdZDcWEsds1eehi777nPR/aJ1MHvt3jDdxHze5dmoCP4Ugpnjr8
vZc+7//Ylr/cbS9FzqnDP4xepH+5EF+LZ7/nBX5diK89i6nDPzL7+7LcH4UUr+jC6WNjW/TjExxX
+Suyfeq4H6qddzTsS2lq6rAf90XMzXY08guKZvLIPpnNu+X9WmGeOvSnHfdO4uJRcvzchybG5MH3
ZfXHx796+JdK2OTx/841+F9LkPyjMsynPkW3xD2alZdC7t8/9V9Vmv4UHvm1/vRDUOSv/rfj4tr4
F0/Rflf81/8DAAD//w==</cx:binary>
              </cx:geoCache>
            </cx:geography>
          </cx:layoutPr>
          <cx:valueColors>
            <cx:minColor>
              <a:schemeClr val="accent1">
                <a:lumMod val="75000"/>
              </a:schemeClr>
            </cx:minColor>
            <cx:midColor>
              <a:schemeClr val="bg1"/>
            </cx:midColor>
            <cx:maxColor>
              <a:schemeClr val="accent2">
                <a:lumMod val="75000"/>
              </a:schemeClr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r" align="min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trlProps/ctrlProp1.xml><?xml version="1.0" encoding="utf-8"?>
<formControlPr xmlns="http://schemas.microsoft.com/office/spreadsheetml/2009/9/main" objectType="Spin" dx="22" fmlaLink="$A$1" max="10" min="1" page="10" val="7"/>
</file>

<file path=xl/ctrlProps/ctrlProp2.xml><?xml version="1.0" encoding="utf-8"?>
<formControlPr xmlns="http://schemas.microsoft.com/office/spreadsheetml/2009/9/main" objectType="Radio" firstButton="1" fmlaLink="$A$2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422910</xdr:colOff>
      <xdr:row>27</xdr:row>
      <xdr:rowOff>74295</xdr:rowOff>
    </xdr:from>
    <xdr:to>
      <xdr:col>7</xdr:col>
      <xdr:colOff>598170</xdr:colOff>
      <xdr:row>35</xdr:row>
      <xdr:rowOff>186690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430530</xdr:colOff>
      <xdr:row>22</xdr:row>
      <xdr:rowOff>34290</xdr:rowOff>
    </xdr:from>
    <xdr:to>
      <xdr:col>8</xdr:col>
      <xdr:colOff>3810</xdr:colOff>
      <xdr:row>28</xdr:row>
      <xdr:rowOff>34290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240030</xdr:colOff>
      <xdr:row>11</xdr:row>
      <xdr:rowOff>38100</xdr:rowOff>
    </xdr:from>
    <xdr:to>
      <xdr:col>7</xdr:col>
      <xdr:colOff>354330</xdr:colOff>
      <xdr:row>18</xdr:row>
      <xdr:rowOff>118109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224789</xdr:colOff>
      <xdr:row>11</xdr:row>
      <xdr:rowOff>114300</xdr:rowOff>
    </xdr:from>
    <xdr:to>
      <xdr:col>2</xdr:col>
      <xdr:colOff>0</xdr:colOff>
      <xdr:row>36</xdr:row>
      <xdr:rowOff>34290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2327190</xdr:colOff>
      <xdr:row>0</xdr:row>
      <xdr:rowOff>66314</xdr:rowOff>
    </xdr:from>
    <xdr:to>
      <xdr:col>13</xdr:col>
      <xdr:colOff>2327190</xdr:colOff>
      <xdr:row>4</xdr:row>
      <xdr:rowOff>20594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780271" y="66314"/>
          <a:ext cx="9349946" cy="695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800" b="1">
              <a:solidFill>
                <a:schemeClr val="tx1">
                  <a:lumMod val="75000"/>
                  <a:lumOff val="25000"/>
                </a:schemeClr>
              </a:solidFill>
            </a:rPr>
            <a:t>What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do </a:t>
          </a:r>
          <a:r>
            <a:rPr lang="en-US" sz="2800" b="1" baseline="0">
              <a:solidFill>
                <a:schemeClr val="accent1"/>
              </a:solidFill>
            </a:rPr>
            <a:t>wage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and </a:t>
          </a:r>
          <a:r>
            <a:rPr lang="en-US" sz="2800" b="1" baseline="0">
              <a:solidFill>
                <a:schemeClr val="accent2"/>
              </a:solidFill>
            </a:rPr>
            <a:t>employment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figures look like by industry?</a:t>
          </a:r>
          <a:endParaRPr lang="en-US" sz="2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112396</xdr:colOff>
      <xdr:row>9</xdr:row>
      <xdr:rowOff>1905</xdr:rowOff>
    </xdr:from>
    <xdr:to>
      <xdr:col>1</xdr:col>
      <xdr:colOff>2859406</xdr:colOff>
      <xdr:row>11</xdr:row>
      <xdr:rowOff>1905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54356" y="1929765"/>
          <a:ext cx="274701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 Annual </a:t>
          </a:r>
          <a:r>
            <a:rPr lang="en-US" sz="1600" b="1">
              <a:solidFill>
                <a:schemeClr val="accent1"/>
              </a:solidFill>
            </a:rPr>
            <a:t>Wage</a:t>
          </a:r>
        </a:p>
      </xdr:txBody>
    </xdr:sp>
    <xdr:clientData/>
  </xdr:twoCellAnchor>
  <xdr:twoCellAnchor>
    <xdr:from>
      <xdr:col>9</xdr:col>
      <xdr:colOff>80010</xdr:colOff>
      <xdr:row>11</xdr:row>
      <xdr:rowOff>38100</xdr:rowOff>
    </xdr:from>
    <xdr:to>
      <xdr:col>17</xdr:col>
      <xdr:colOff>99060</xdr:colOff>
      <xdr:row>35</xdr:row>
      <xdr:rowOff>144780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8610" y="2263140"/>
              <a:ext cx="6419850" cy="449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41911</xdr:colOff>
      <xdr:row>9</xdr:row>
      <xdr:rowOff>1905</xdr:rowOff>
    </xdr:from>
    <xdr:to>
      <xdr:col>7</xdr:col>
      <xdr:colOff>346711</xdr:colOff>
      <xdr:row>11</xdr:row>
      <xdr:rowOff>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400551" y="1929765"/>
          <a:ext cx="27432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Share of Total </a:t>
          </a:r>
          <a:r>
            <a:rPr lang="en-US" sz="1600" b="1">
              <a:solidFill>
                <a:schemeClr val="accent2"/>
              </a:solidFill>
            </a:rPr>
            <a:t>Employees</a:t>
          </a:r>
        </a:p>
      </xdr:txBody>
    </xdr:sp>
    <xdr:clientData/>
  </xdr:twoCellAnchor>
  <xdr:twoCellAnchor>
    <xdr:from>
      <xdr:col>3</xdr:col>
      <xdr:colOff>3811</xdr:colOff>
      <xdr:row>19</xdr:row>
      <xdr:rowOff>186690</xdr:rowOff>
    </xdr:from>
    <xdr:to>
      <xdr:col>7</xdr:col>
      <xdr:colOff>308611</xdr:colOff>
      <xdr:row>21</xdr:row>
      <xdr:rowOff>186690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362451" y="4095750"/>
          <a:ext cx="27432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1"/>
              </a:solidFill>
            </a:rPr>
            <a:t>Wage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&amp; </a:t>
          </a:r>
          <a:r>
            <a:rPr lang="en-US" sz="1600" b="1">
              <a:solidFill>
                <a:schemeClr val="accent2"/>
              </a:solidFill>
            </a:rPr>
            <a:t>Employee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Trends</a:t>
          </a:r>
        </a:p>
      </xdr:txBody>
    </xdr:sp>
    <xdr:clientData/>
  </xdr:twoCellAnchor>
  <xdr:twoCellAnchor>
    <xdr:from>
      <xdr:col>5</xdr:col>
      <xdr:colOff>160020</xdr:colOff>
      <xdr:row>11</xdr:row>
      <xdr:rowOff>110490</xdr:rowOff>
    </xdr:from>
    <xdr:to>
      <xdr:col>8</xdr:col>
      <xdr:colOff>34290</xdr:colOff>
      <xdr:row>17</xdr:row>
      <xdr:rowOff>3810</xdr:rowOff>
    </xdr:to>
    <xdr:sp macro="" textlink="'Data Prep'!I19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5737860" y="2495550"/>
          <a:ext cx="1703070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66B599A7-5ADE-4376-8454-B46DBD6CB177}" type="TxLink">
            <a:rPr lang="en-US" sz="6000" b="1" i="0" u="none" strike="noStrike">
              <a:solidFill>
                <a:schemeClr val="accent2"/>
              </a:solidFill>
              <a:latin typeface="Calibri"/>
              <a:cs typeface="Calibri"/>
            </a:rPr>
            <a:pPr/>
            <a:t>10%</a:t>
          </a:fld>
          <a:endParaRPr lang="en-US" sz="6000" b="1">
            <a:solidFill>
              <a:schemeClr val="accent2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2</xdr:col>
          <xdr:colOff>502920</xdr:colOff>
          <xdr:row>6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9</xdr:row>
          <xdr:rowOff>45720</xdr:rowOff>
        </xdr:from>
        <xdr:to>
          <xdr:col>13</xdr:col>
          <xdr:colOff>1447800</xdr:colOff>
          <xdr:row>10</xdr:row>
          <xdr:rowOff>152400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1485900</xdr:colOff>
          <xdr:row>9</xdr:row>
          <xdr:rowOff>0</xdr:rowOff>
        </xdr:from>
        <xdr:to>
          <xdr:col>14</xdr:col>
          <xdr:colOff>533400</xdr:colOff>
          <xdr:row>11</xdr:row>
          <xdr:rowOff>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1,000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55246</xdr:colOff>
      <xdr:row>9</xdr:row>
      <xdr:rowOff>1905</xdr:rowOff>
    </xdr:from>
    <xdr:to>
      <xdr:col>13</xdr:col>
      <xdr:colOff>1045845</xdr:colOff>
      <xdr:row>11</xdr:row>
      <xdr:rowOff>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9316477" y="1804328"/>
          <a:ext cx="1620714" cy="3516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</a:t>
          </a: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1600" b="1" baseline="0">
              <a:solidFill>
                <a:schemeClr val="accent1"/>
              </a:solidFill>
            </a:rPr>
            <a:t>Wages</a:t>
          </a:r>
          <a:endParaRPr lang="en-US" sz="1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1680211</xdr:colOff>
      <xdr:row>9</xdr:row>
      <xdr:rowOff>1905</xdr:rowOff>
    </xdr:from>
    <xdr:to>
      <xdr:col>15</xdr:col>
      <xdr:colOff>605790</xdr:colOff>
      <xdr:row>11</xdr:row>
      <xdr:rowOff>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1571557" y="1804328"/>
          <a:ext cx="2090810" cy="3516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accent2"/>
              </a:solidFill>
            </a:rPr>
            <a:t>Employees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per 1,000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fb>4887871</fb>
    <v>0</v>
  </rv>
  <rv s="0">
    <fb>7171646</fb>
    <v>0</v>
  </rv>
  <rv s="0">
    <fb>3013825</fb>
    <v>0</v>
  </rv>
  <rv s="0">
    <fb>39557045</fb>
    <v>0</v>
  </rv>
  <rv s="0">
    <fb>5695564</fb>
    <v>0</v>
  </rv>
  <rv s="0">
    <fb>3572665</fb>
    <v>0</v>
  </rv>
  <rv s="0">
    <fb>967171</fb>
    <v>0</v>
  </rv>
  <rv s="0">
    <fb>21670000</fb>
    <v>0</v>
  </rv>
  <rv s="0">
    <fb>10519475</fb>
    <v>0</v>
  </rv>
  <rv s="0">
    <fb>1754208</fb>
    <v>0</v>
  </rv>
  <rv s="0">
    <fb>12741080</fb>
    <v>0</v>
  </rv>
  <rv s="0">
    <fb>6691878</fb>
    <v>0</v>
  </rv>
  <rv s="0">
    <fb>3156145</fb>
    <v>0</v>
  </rv>
  <rv s="0">
    <fb>2911505</fb>
    <v>0</v>
  </rv>
  <rv s="0">
    <fb>4468402</fb>
    <v>0</v>
  </rv>
  <rv s="0">
    <fb>4659978</fb>
    <v>0</v>
  </rv>
  <rv s="0">
    <fb>1338404</fb>
    <v>0</v>
  </rv>
  <rv s="0">
    <fb>6042718</fb>
    <v>0</v>
  </rv>
  <rv s="0">
    <fb>6902149</fb>
    <v>0</v>
  </rv>
  <rv s="0">
    <fb>9995915</fb>
    <v>0</v>
  </rv>
  <rv s="0">
    <fb>5611179</fb>
    <v>0</v>
  </rv>
  <rv s="0">
    <fb>2963914</fb>
    <v>0</v>
  </rv>
  <rv s="0">
    <fb>6126452</fb>
    <v>0</v>
  </rv>
  <rv s="0">
    <fb>1062305</fb>
    <v>0</v>
  </rv>
  <rv s="0">
    <fb>1929268</fb>
    <v>0</v>
  </rv>
  <rv s="0">
    <fb>3034392</fb>
    <v>0</v>
  </rv>
  <rv s="0">
    <fb>1356458</fb>
    <v>0</v>
  </rv>
  <rv s="0">
    <fb>8908520</fb>
    <v>0</v>
  </rv>
  <rv s="0">
    <fb>2095428</fb>
    <v>0</v>
  </rv>
  <rv s="0">
    <fb>19542209</fb>
    <v>0</v>
  </rv>
  <rv s="0">
    <fb>10383620</fb>
    <v>0</v>
  </rv>
  <rv s="0">
    <fb>760077</fb>
    <v>0</v>
  </rv>
  <rv s="0">
    <fb>11689442</fb>
    <v>0</v>
  </rv>
  <rv s="0">
    <fb>3943079</fb>
    <v>0</v>
  </rv>
  <rv s="0">
    <fb>4190713</fb>
    <v>0</v>
  </rv>
  <rv s="0">
    <fb>12807060</fb>
    <v>0</v>
  </rv>
  <rv s="0">
    <fb>1057315</fb>
    <v>0</v>
  </rv>
  <rv s="0">
    <fb>5084127</fb>
    <v>0</v>
  </rv>
  <rv s="0">
    <fb>882235</fb>
    <v>0</v>
  </rv>
  <rv s="0">
    <fb>6770010</fb>
    <v>0</v>
  </rv>
  <rv s="0">
    <fb>28701845</fb>
    <v>0</v>
  </rv>
  <rv s="0">
    <fb>3161105</fb>
    <v>0</v>
  </rv>
  <rv s="0">
    <fb>626299</fb>
    <v>0</v>
  </rv>
  <rv s="0">
    <fb>8517685</fb>
    <v>0</v>
  </rv>
  <rv s="0">
    <fb>7614893</fb>
    <v>0</v>
  </rv>
  <rv s="0">
    <fb>1805832</fb>
    <v>0</v>
  </rv>
  <rv s="0">
    <fb>5813568</fb>
    <v>0</v>
  </rv>
  <rv s="0">
    <fb>577737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workbookViewId="0"/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4.5546875" customWidth="1"/>
    <col min="5" max="5" width="10.6640625" customWidth="1"/>
    <col min="6" max="6" width="16.6640625" customWidth="1"/>
    <col min="7" max="18" width="9.109375" customWidth="1"/>
  </cols>
  <sheetData>
    <row r="1" spans="1:6" x14ac:dyDescent="0.3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A1F01C08-243B-48FC-94A8-F102AEB1706D}">
      <selection activeCell="F150" sqref="F150"/>
      <pageMargins left="0.7" right="0.7" top="0.75" bottom="0.75" header="0.3" footer="0.3"/>
      <pageSetup orientation="portrait" r:id="rId1"/>
    </customSheetView>
    <customSheetView guid="{948164EF-B902-4A6C-8E3C-A935061C5153}" state="hidden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26E5-0011-497D-8F5E-4B2E56443F19}">
  <dimension ref="A1:T50"/>
  <sheetViews>
    <sheetView workbookViewId="0"/>
  </sheetViews>
  <sheetFormatPr defaultRowHeight="14.4" x14ac:dyDescent="0.3"/>
  <cols>
    <col min="1" max="1" width="21.6640625" bestFit="1" customWidth="1"/>
    <col min="2" max="2" width="18.33203125" customWidth="1"/>
    <col min="4" max="4" width="20.44140625" customWidth="1"/>
    <col min="5" max="5" width="16.6640625" bestFit="1" customWidth="1"/>
    <col min="6" max="6" width="16.6640625" customWidth="1"/>
    <col min="8" max="8" width="21.88671875" customWidth="1"/>
    <col min="9" max="9" width="12.88671875" customWidth="1"/>
    <col min="12" max="12" width="13.6640625" customWidth="1"/>
    <col min="13" max="13" width="18.33203125" customWidth="1"/>
    <col min="15" max="15" width="17.33203125" customWidth="1"/>
    <col min="16" max="16" width="16.88671875" customWidth="1"/>
    <col min="17" max="17" width="14.5546875" customWidth="1"/>
    <col min="18" max="18" width="25" bestFit="1" customWidth="1"/>
    <col min="19" max="19" width="14.44140625" customWidth="1"/>
    <col min="20" max="20" width="25" bestFit="1" customWidth="1"/>
  </cols>
  <sheetData>
    <row r="1" spans="1:20" x14ac:dyDescent="0.3">
      <c r="A1" s="9" t="s">
        <v>64</v>
      </c>
      <c r="B1" s="9"/>
      <c r="D1" s="7" t="s">
        <v>69</v>
      </c>
      <c r="E1" s="7"/>
      <c r="F1" s="7"/>
      <c r="H1" s="7" t="s">
        <v>70</v>
      </c>
      <c r="I1" s="7"/>
      <c r="K1" s="7" t="s">
        <v>73</v>
      </c>
      <c r="L1" s="7"/>
      <c r="M1" s="7"/>
      <c r="O1" s="7" t="s">
        <v>74</v>
      </c>
      <c r="P1" s="7"/>
      <c r="Q1" s="7"/>
      <c r="R1" s="7"/>
      <c r="S1" s="7"/>
      <c r="T1" s="7"/>
    </row>
    <row r="2" spans="1:20" x14ac:dyDescent="0.3">
      <c r="A2" s="8" t="s">
        <v>49</v>
      </c>
      <c r="B2" s="8" t="s">
        <v>65</v>
      </c>
      <c r="D2" s="6" t="s">
        <v>49</v>
      </c>
      <c r="E2" s="6" t="s">
        <v>63</v>
      </c>
      <c r="F2" s="6" t="s">
        <v>65</v>
      </c>
      <c r="H2" s="6" t="s">
        <v>49</v>
      </c>
      <c r="I2" s="6" t="s">
        <v>62</v>
      </c>
      <c r="K2" s="6" t="s">
        <v>50</v>
      </c>
      <c r="L2" s="6" t="s">
        <v>68</v>
      </c>
      <c r="M2" s="6" t="s">
        <v>62</v>
      </c>
      <c r="O2" s="6" t="s">
        <v>0</v>
      </c>
      <c r="P2" s="6" t="s">
        <v>62</v>
      </c>
      <c r="Q2" s="6" t="s">
        <v>75</v>
      </c>
      <c r="R2" s="6" t="s">
        <v>76</v>
      </c>
      <c r="S2" s="6" t="s">
        <v>77</v>
      </c>
      <c r="T2" s="6" t="str">
        <f>B18</f>
        <v>Employees per 1000 Capita</v>
      </c>
    </row>
    <row r="3" spans="1:20" x14ac:dyDescent="0.3">
      <c r="A3" t="s">
        <v>57</v>
      </c>
      <c r="B3" t="str">
        <f>Dashboard!B6</f>
        <v>Manufacturing</v>
      </c>
      <c r="D3" t="s">
        <v>53</v>
      </c>
      <c r="E3" s="2">
        <f>AVERAGEIFS(Data!F:F,Data!B:B,D3,Data!A:A,$B$15)</f>
        <v>93586.333333333328</v>
      </c>
      <c r="F3" s="2">
        <f>IF(D3=$B$3,E3,0)</f>
        <v>0</v>
      </c>
      <c r="H3" t="s">
        <v>54</v>
      </c>
      <c r="I3" s="1">
        <f>SUMIFS(Data!E:E,Data!B:B,H3,Data!A:A,'Data Prep'!$B$15)</f>
        <v>26277342</v>
      </c>
      <c r="K3">
        <v>2017</v>
      </c>
      <c r="L3" s="2">
        <f>AVERAGEIFS(Data!F:F,Data!B:B,'Data Prep'!$B$3,Data!A:A,'Data Prep'!K3)</f>
        <v>62625.291666666664</v>
      </c>
      <c r="M3" s="1">
        <f>SUMIFS(Data!E:E,Data!B:B,'Data Prep'!$B$3,Data!A:A,'Data Prep'!K3)</f>
        <v>12378010</v>
      </c>
      <c r="O3" t="s">
        <v>1</v>
      </c>
      <c r="P3" s="1">
        <f>SUMIFS(Data!E:E,Data!B:B,'Data Prep'!$B$3,Data!A:A,'Data Prep'!$B$15,Data!C:C,'Data Prep'!O3)</f>
        <v>258328</v>
      </c>
      <c r="Q3" vm="1">
        <v>4887871</v>
      </c>
      <c r="R3" s="10">
        <f>P3/Q3*1000</f>
        <v>52.850821963181922</v>
      </c>
      <c r="S3" s="2">
        <f>AVERAGEIFS(Data!F:F,Data!B:B,'Data Prep'!$B$3,Data!A:A,'Data Prep'!$B$15,Data!C:C,'Data Prep'!O3)</f>
        <v>60387</v>
      </c>
      <c r="T3" s="11">
        <f>IF($T$2=$S$2,-S3,R3)</f>
        <v>52.850821963181922</v>
      </c>
    </row>
    <row r="4" spans="1:20" x14ac:dyDescent="0.3">
      <c r="A4" t="s">
        <v>51</v>
      </c>
      <c r="D4" t="s">
        <v>56</v>
      </c>
      <c r="E4" s="2">
        <f>AVERAGEIFS(Data!F:F,Data!B:B,D4,Data!A:A,$B$15)</f>
        <v>90040.666666666672</v>
      </c>
      <c r="F4" s="2">
        <f t="shared" ref="F4:F12" si="0">IF(D4=$B$3,E4,0)</f>
        <v>0</v>
      </c>
      <c r="H4" t="s">
        <v>58</v>
      </c>
      <c r="I4" s="1">
        <f>SUMIFS(Data!E:E,Data!B:B,H4,Data!A:A,'Data Prep'!$B$15)</f>
        <v>22035033</v>
      </c>
      <c r="K4">
        <v>2018</v>
      </c>
      <c r="L4" s="2">
        <f>AVERAGEIFS(Data!F:F,Data!B:B,'Data Prep'!$B$3,Data!A:A,'Data Prep'!K4)</f>
        <v>64166.541666666664</v>
      </c>
      <c r="M4" s="1">
        <f>SUMIFS(Data!E:E,Data!B:B,'Data Prep'!$B$3,Data!A:A,'Data Prep'!K4)</f>
        <v>12619732</v>
      </c>
      <c r="O4" t="s">
        <v>2</v>
      </c>
      <c r="P4" s="1">
        <f>SUMIFS(Data!E:E,Data!B:B,'Data Prep'!$B$3,Data!A:A,'Data Prep'!$B$15,Data!C:C,'Data Prep'!O4)</f>
        <v>177110</v>
      </c>
      <c r="Q4" vm="2">
        <v>7171646</v>
      </c>
      <c r="R4" s="10">
        <f t="shared" ref="R4:R50" si="1">P4/Q4*1000</f>
        <v>24.695864798680802</v>
      </c>
      <c r="S4" s="2">
        <f>AVERAGEIFS(Data!F:F,Data!B:B,'Data Prep'!$B$3,Data!A:A,'Data Prep'!$B$15,Data!C:C,'Data Prep'!O4)</f>
        <v>82375</v>
      </c>
      <c r="T4" s="11">
        <f t="shared" ref="T4:T50" si="2">IF($T$2=$S$2,-S4,R4)</f>
        <v>24.695864798680802</v>
      </c>
    </row>
    <row r="5" spans="1:20" x14ac:dyDescent="0.3">
      <c r="A5" t="s">
        <v>58</v>
      </c>
      <c r="D5" t="s">
        <v>57</v>
      </c>
      <c r="E5" s="2">
        <f>AVERAGEIFS(Data!F:F,Data!B:B,D5,Data!A:A,$B$15)</f>
        <v>74713.0625</v>
      </c>
      <c r="F5" s="2">
        <f t="shared" si="0"/>
        <v>0</v>
      </c>
      <c r="H5" t="s">
        <v>57</v>
      </c>
      <c r="I5" s="1">
        <f>SUMIFS(Data!E:E,Data!B:B,H5,Data!A:A,'Data Prep'!$B$15)</f>
        <v>20065896</v>
      </c>
      <c r="K5">
        <v>2019</v>
      </c>
      <c r="L5" s="2">
        <f>AVERAGEIFS(Data!F:F,Data!B:B,'Data Prep'!$B$3,Data!A:A,'Data Prep'!K5)</f>
        <v>65480.25</v>
      </c>
      <c r="M5" s="1">
        <f>SUMIFS(Data!E:E,Data!B:B,'Data Prep'!$B$3,Data!A:A,'Data Prep'!K5)</f>
        <v>12747753</v>
      </c>
      <c r="O5" t="s">
        <v>3</v>
      </c>
      <c r="P5" s="1">
        <f>SUMIFS(Data!E:E,Data!B:B,'Data Prep'!$B$3,Data!A:A,'Data Prep'!$B$15,Data!C:C,'Data Prep'!O5)</f>
        <v>154922</v>
      </c>
      <c r="Q5" vm="3">
        <v>3013825</v>
      </c>
      <c r="R5" s="10">
        <f t="shared" si="1"/>
        <v>51.403780909641398</v>
      </c>
      <c r="S5" s="2">
        <f>AVERAGEIFS(Data!F:F,Data!B:B,'Data Prep'!$B$3,Data!A:A,'Data Prep'!$B$15,Data!C:C,'Data Prep'!O5)</f>
        <v>51570</v>
      </c>
      <c r="T5" s="11">
        <f t="shared" si="2"/>
        <v>51.403780909641398</v>
      </c>
    </row>
    <row r="6" spans="1:20" x14ac:dyDescent="0.3">
      <c r="A6" t="s">
        <v>56</v>
      </c>
      <c r="D6" t="s">
        <v>52</v>
      </c>
      <c r="E6" s="2">
        <f>AVERAGEIFS(Data!F:F,Data!B:B,D6,Data!A:A,$B$15)</f>
        <v>68427.875</v>
      </c>
      <c r="F6" s="2">
        <f t="shared" si="0"/>
        <v>68427.875</v>
      </c>
      <c r="H6" t="s">
        <v>59</v>
      </c>
      <c r="I6" s="1">
        <f>SUMIFS(Data!E:E,Data!B:B,H6,Data!A:A,'Data Prep'!$B$15)</f>
        <v>12649500</v>
      </c>
      <c r="K6">
        <v>2020</v>
      </c>
      <c r="L6" s="2">
        <f>AVERAGEIFS(Data!F:F,Data!B:B,'Data Prep'!$B$3,Data!A:A,'Data Prep'!K6)</f>
        <v>68427.875</v>
      </c>
      <c r="M6" s="1">
        <f>SUMIFS(Data!E:E,Data!B:B,'Data Prep'!$B$3,Data!A:A,'Data Prep'!K6)</f>
        <v>12058694</v>
      </c>
      <c r="O6" t="s">
        <v>4</v>
      </c>
      <c r="P6" s="1">
        <f>SUMIFS(Data!E:E,Data!B:B,'Data Prep'!$B$3,Data!A:A,'Data Prep'!$B$15,Data!C:C,'Data Prep'!O6)</f>
        <v>1263780</v>
      </c>
      <c r="Q6" vm="4">
        <v>39557045</v>
      </c>
      <c r="R6" s="10">
        <f t="shared" si="1"/>
        <v>31.948291385263992</v>
      </c>
      <c r="S6" s="2">
        <f>AVERAGEIFS(Data!F:F,Data!B:B,'Data Prep'!$B$3,Data!A:A,'Data Prep'!$B$15,Data!C:C,'Data Prep'!O6)</f>
        <v>109888</v>
      </c>
      <c r="T6" s="11">
        <f t="shared" si="2"/>
        <v>31.948291385263992</v>
      </c>
    </row>
    <row r="7" spans="1:20" x14ac:dyDescent="0.3">
      <c r="A7" t="s">
        <v>53</v>
      </c>
      <c r="D7" t="s">
        <v>51</v>
      </c>
      <c r="E7" s="2">
        <f>AVERAGEIFS(Data!F:F,Data!B:B,D7,Data!A:A,$B$15)</f>
        <v>63896.895833333336</v>
      </c>
      <c r="F7" s="2">
        <f t="shared" si="0"/>
        <v>0</v>
      </c>
      <c r="H7" t="s">
        <v>52</v>
      </c>
      <c r="I7" s="1">
        <f>SUMIFS(Data!E:E,Data!B:B,H7,Data!A:A,'Data Prep'!$B$15)</f>
        <v>12058694</v>
      </c>
      <c r="O7" t="s">
        <v>5</v>
      </c>
      <c r="P7" s="1">
        <f>SUMIFS(Data!E:E,Data!B:B,'Data Prep'!$B$3,Data!A:A,'Data Prep'!$B$15,Data!C:C,'Data Prep'!O7)</f>
        <v>146473</v>
      </c>
      <c r="Q7" vm="5">
        <v>5695564</v>
      </c>
      <c r="R7" s="10">
        <f t="shared" si="1"/>
        <v>25.717031710994732</v>
      </c>
      <c r="S7" s="2">
        <f>AVERAGEIFS(Data!F:F,Data!B:B,'Data Prep'!$B$3,Data!A:A,'Data Prep'!$B$15,Data!C:C,'Data Prep'!O7)</f>
        <v>77207</v>
      </c>
      <c r="T7" s="11">
        <f t="shared" si="2"/>
        <v>25.717031710994732</v>
      </c>
    </row>
    <row r="8" spans="1:20" x14ac:dyDescent="0.3">
      <c r="A8" t="s">
        <v>59</v>
      </c>
      <c r="D8" t="s">
        <v>55</v>
      </c>
      <c r="E8" s="2">
        <f>AVERAGEIFS(Data!F:F,Data!B:B,D8,Data!A:A,$B$15)</f>
        <v>55605.9375</v>
      </c>
      <c r="F8" s="2">
        <f t="shared" si="0"/>
        <v>0</v>
      </c>
      <c r="H8" t="s">
        <v>56</v>
      </c>
      <c r="I8" s="1">
        <f>SUMIFS(Data!E:E,Data!B:B,H8,Data!A:A,'Data Prep'!$B$15)</f>
        <v>8142043</v>
      </c>
      <c r="O8" t="s">
        <v>6</v>
      </c>
      <c r="P8" s="1">
        <f>SUMIFS(Data!E:E,Data!B:B,'Data Prep'!$B$3,Data!A:A,'Data Prep'!$B$15,Data!C:C,'Data Prep'!O8)</f>
        <v>153812</v>
      </c>
      <c r="Q8" vm="6">
        <v>3572665</v>
      </c>
      <c r="R8" s="10">
        <f t="shared" si="1"/>
        <v>43.052455239995915</v>
      </c>
      <c r="S8" s="2">
        <f>AVERAGEIFS(Data!F:F,Data!B:B,'Data Prep'!$B$3,Data!A:A,'Data Prep'!$B$15,Data!C:C,'Data Prep'!O8)</f>
        <v>87706</v>
      </c>
      <c r="T8" s="11">
        <f t="shared" si="2"/>
        <v>43.052455239995915</v>
      </c>
    </row>
    <row r="9" spans="1:20" x14ac:dyDescent="0.3">
      <c r="A9" t="s">
        <v>52</v>
      </c>
      <c r="D9" t="s">
        <v>58</v>
      </c>
      <c r="E9" s="2">
        <f>AVERAGEIFS(Data!F:F,Data!B:B,D9,Data!A:A,$B$15)</f>
        <v>53607.208333333336</v>
      </c>
      <c r="F9" s="2">
        <f t="shared" si="0"/>
        <v>0</v>
      </c>
      <c r="H9" t="s">
        <v>51</v>
      </c>
      <c r="I9" s="1">
        <f>SUMIFS(Data!E:E,Data!B:B,H9,Data!A:A,'Data Prep'!$B$15)</f>
        <v>7136444</v>
      </c>
      <c r="O9" t="s">
        <v>7</v>
      </c>
      <c r="P9" s="1">
        <f>SUMIFS(Data!E:E,Data!B:B,'Data Prep'!$B$3,Data!A:A,'Data Prep'!$B$15,Data!C:C,'Data Prep'!O9)</f>
        <v>25520</v>
      </c>
      <c r="Q9" vm="7">
        <v>967171</v>
      </c>
      <c r="R9" s="10">
        <f t="shared" si="1"/>
        <v>26.386233664987888</v>
      </c>
      <c r="S9" s="2">
        <f>AVERAGEIFS(Data!F:F,Data!B:B,'Data Prep'!$B$3,Data!A:A,'Data Prep'!$B$15,Data!C:C,'Data Prep'!O9)</f>
        <v>68049</v>
      </c>
      <c r="T9" s="11">
        <f t="shared" si="2"/>
        <v>26.386233664987888</v>
      </c>
    </row>
    <row r="10" spans="1:20" x14ac:dyDescent="0.3">
      <c r="A10" t="s">
        <v>55</v>
      </c>
      <c r="D10" t="s">
        <v>54</v>
      </c>
      <c r="E10" s="2">
        <f>AVERAGEIFS(Data!F:F,Data!B:B,D10,Data!A:A,$B$15)</f>
        <v>49366.8125</v>
      </c>
      <c r="F10" s="2">
        <f t="shared" si="0"/>
        <v>0</v>
      </c>
      <c r="H10" t="s">
        <v>60</v>
      </c>
      <c r="I10" s="1">
        <f>SUMIFS(Data!E:E,Data!B:B,H10,Data!A:A,'Data Prep'!$B$15)</f>
        <v>3843699</v>
      </c>
      <c r="O10" t="s">
        <v>8</v>
      </c>
      <c r="P10" s="1">
        <f>SUMIFS(Data!E:E,Data!B:B,'Data Prep'!$B$3,Data!A:A,'Data Prep'!$B$15,Data!C:C,'Data Prep'!O10)</f>
        <v>376070</v>
      </c>
      <c r="Q10" vm="8">
        <v>21670000</v>
      </c>
      <c r="R10" s="10">
        <f t="shared" si="1"/>
        <v>17.354407014305494</v>
      </c>
      <c r="S10" s="2">
        <f>AVERAGEIFS(Data!F:F,Data!B:B,'Data Prep'!$B$3,Data!A:A,'Data Prep'!$B$15,Data!C:C,'Data Prep'!O10)</f>
        <v>66758</v>
      </c>
      <c r="T10" s="11">
        <f t="shared" si="2"/>
        <v>17.354407014305494</v>
      </c>
    </row>
    <row r="11" spans="1:20" x14ac:dyDescent="0.3">
      <c r="A11" t="s">
        <v>60</v>
      </c>
      <c r="D11" t="s">
        <v>60</v>
      </c>
      <c r="E11" s="2">
        <f>AVERAGEIFS(Data!F:F,Data!B:B,D11,Data!A:A,$B$15)</f>
        <v>40790.1875</v>
      </c>
      <c r="F11" s="2">
        <f t="shared" si="0"/>
        <v>0</v>
      </c>
      <c r="H11" t="s">
        <v>53</v>
      </c>
      <c r="I11" s="1">
        <f>SUMIFS(Data!E:E,Data!B:B,H11,Data!A:A,'Data Prep'!$B$15)</f>
        <v>2677815</v>
      </c>
      <c r="O11" t="s">
        <v>9</v>
      </c>
      <c r="P11" s="1">
        <f>SUMIFS(Data!E:E,Data!B:B,'Data Prep'!$B$3,Data!A:A,'Data Prep'!$B$15,Data!C:C,'Data Prep'!O11)</f>
        <v>382938</v>
      </c>
      <c r="Q11" vm="9">
        <v>10519475</v>
      </c>
      <c r="R11" s="10">
        <f t="shared" si="1"/>
        <v>36.402767248365535</v>
      </c>
      <c r="S11" s="2">
        <f>AVERAGEIFS(Data!F:F,Data!B:B,'Data Prep'!$B$3,Data!A:A,'Data Prep'!$B$15,Data!C:C,'Data Prep'!O11)</f>
        <v>60184</v>
      </c>
      <c r="T11" s="11">
        <f t="shared" si="2"/>
        <v>36.402767248365535</v>
      </c>
    </row>
    <row r="12" spans="1:20" x14ac:dyDescent="0.3">
      <c r="A12" t="s">
        <v>54</v>
      </c>
      <c r="D12" t="s">
        <v>59</v>
      </c>
      <c r="E12" s="2">
        <f>AVERAGEIFS(Data!F:F,Data!B:B,D12,Data!A:A,$B$15)</f>
        <v>23286.416666666668</v>
      </c>
      <c r="F12" s="2">
        <f t="shared" si="0"/>
        <v>0</v>
      </c>
      <c r="H12" t="s">
        <v>55</v>
      </c>
      <c r="I12" s="1">
        <f>SUMIFS(Data!E:E,Data!B:B,H12,Data!A:A,'Data Prep'!$B$15)</f>
        <v>1762873</v>
      </c>
      <c r="O12" t="s">
        <v>10</v>
      </c>
      <c r="P12" s="1">
        <f>SUMIFS(Data!E:E,Data!B:B,'Data Prep'!$B$3,Data!A:A,'Data Prep'!$B$15,Data!C:C,'Data Prep'!O12)</f>
        <v>67700</v>
      </c>
      <c r="Q12" vm="10">
        <v>1754208</v>
      </c>
      <c r="R12" s="10">
        <f t="shared" si="1"/>
        <v>38.59291486528393</v>
      </c>
      <c r="S12" s="2">
        <f>AVERAGEIFS(Data!F:F,Data!B:B,'Data Prep'!$B$3,Data!A:A,'Data Prep'!$B$15,Data!C:C,'Data Prep'!O12)</f>
        <v>65603</v>
      </c>
      <c r="T12" s="11">
        <f t="shared" si="2"/>
        <v>38.59291486528393</v>
      </c>
    </row>
    <row r="13" spans="1:20" x14ac:dyDescent="0.3">
      <c r="O13" t="s">
        <v>11</v>
      </c>
      <c r="P13" s="1">
        <f>SUMIFS(Data!E:E,Data!B:B,'Data Prep'!$B$3,Data!A:A,'Data Prep'!$B$15,Data!C:C,'Data Prep'!O13)</f>
        <v>554712</v>
      </c>
      <c r="Q13" vm="11">
        <v>12741080</v>
      </c>
      <c r="R13" s="10">
        <f t="shared" si="1"/>
        <v>43.537282553755254</v>
      </c>
      <c r="S13" s="2">
        <f>AVERAGEIFS(Data!F:F,Data!B:B,'Data Prep'!$B$3,Data!A:A,'Data Prep'!$B$15,Data!C:C,'Data Prep'!O13)</f>
        <v>74855</v>
      </c>
      <c r="T13" s="11">
        <f t="shared" si="2"/>
        <v>43.537282553755254</v>
      </c>
    </row>
    <row r="14" spans="1:20" x14ac:dyDescent="0.3">
      <c r="A14" s="9" t="s">
        <v>66</v>
      </c>
      <c r="B14" s="9"/>
      <c r="H14" s="7" t="s">
        <v>71</v>
      </c>
      <c r="I14" s="7"/>
      <c r="O14" t="s">
        <v>12</v>
      </c>
      <c r="P14" s="1">
        <f>SUMIFS(Data!E:E,Data!B:B,'Data Prep'!$B$3,Data!A:A,'Data Prep'!$B$15,Data!C:C,'Data Prep'!O14)</f>
        <v>504460</v>
      </c>
      <c r="Q14" vm="12">
        <v>6691878</v>
      </c>
      <c r="R14" s="10">
        <f t="shared" si="1"/>
        <v>75.383920627363509</v>
      </c>
      <c r="S14" s="2">
        <f>AVERAGEIFS(Data!F:F,Data!B:B,'Data Prep'!$B$3,Data!A:A,'Data Prep'!$B$15,Data!C:C,'Data Prep'!O14)</f>
        <v>65092</v>
      </c>
      <c r="T14" s="11">
        <f t="shared" si="2"/>
        <v>75.383920627363509</v>
      </c>
    </row>
    <row r="15" spans="1:20" x14ac:dyDescent="0.3">
      <c r="A15" s="5" t="s">
        <v>67</v>
      </c>
      <c r="B15" s="4">
        <v>2020</v>
      </c>
      <c r="D15" t="str">
        <f>INDEX(D3:D12,10)</f>
        <v>Leisure &amp; Hospitality</v>
      </c>
      <c r="H15" s="6" t="s">
        <v>49</v>
      </c>
      <c r="I15" s="6" t="s">
        <v>62</v>
      </c>
      <c r="O15" t="s">
        <v>13</v>
      </c>
      <c r="P15" s="1">
        <f>SUMIFS(Data!E:E,Data!B:B,'Data Prep'!$B$3,Data!A:A,'Data Prep'!$B$15,Data!C:C,'Data Prep'!O15)</f>
        <v>216615</v>
      </c>
      <c r="Q15" vm="13">
        <v>3156145</v>
      </c>
      <c r="R15" s="10">
        <f t="shared" si="1"/>
        <v>68.632778278564516</v>
      </c>
      <c r="S15" s="2">
        <f>AVERAGEIFS(Data!F:F,Data!B:B,'Data Prep'!$B$3,Data!A:A,'Data Prep'!$B$15,Data!C:C,'Data Prep'!O15)</f>
        <v>63103</v>
      </c>
      <c r="T15" s="11">
        <f t="shared" si="2"/>
        <v>68.632778278564516</v>
      </c>
    </row>
    <row r="16" spans="1:20" x14ac:dyDescent="0.3">
      <c r="H16" t="str">
        <f>B3</f>
        <v>Manufacturing</v>
      </c>
      <c r="I16" s="1">
        <f>VLOOKUP(B3,H3:I12,2,0)</f>
        <v>12058694</v>
      </c>
      <c r="O16" t="s">
        <v>14</v>
      </c>
      <c r="P16" s="1">
        <f>SUMIFS(Data!E:E,Data!B:B,'Data Prep'!$B$3,Data!A:A,'Data Prep'!$B$15,Data!C:C,'Data Prep'!O16)</f>
        <v>158784</v>
      </c>
      <c r="Q16" vm="14">
        <v>2911505</v>
      </c>
      <c r="R16" s="10">
        <f t="shared" si="1"/>
        <v>54.536743024655628</v>
      </c>
      <c r="S16" s="2">
        <f>AVERAGEIFS(Data!F:F,Data!B:B,'Data Prep'!$B$3,Data!A:A,'Data Prep'!$B$15,Data!C:C,'Data Prep'!O16)</f>
        <v>62958</v>
      </c>
      <c r="T16" s="11">
        <f t="shared" si="2"/>
        <v>54.536743024655628</v>
      </c>
    </row>
    <row r="17" spans="1:20" x14ac:dyDescent="0.3">
      <c r="A17" s="9" t="s">
        <v>78</v>
      </c>
      <c r="B17" s="9"/>
      <c r="H17" t="s">
        <v>72</v>
      </c>
      <c r="I17" s="1">
        <f>SUM(I3:I12)-I16</f>
        <v>104590645</v>
      </c>
      <c r="O17" t="s">
        <v>15</v>
      </c>
      <c r="P17" s="1">
        <f>SUMIFS(Data!E:E,Data!B:B,'Data Prep'!$B$3,Data!A:A,'Data Prep'!$B$15,Data!C:C,'Data Prep'!O17)</f>
        <v>235564</v>
      </c>
      <c r="Q17" vm="15">
        <v>4468402</v>
      </c>
      <c r="R17" s="10">
        <f t="shared" si="1"/>
        <v>52.717727724587</v>
      </c>
      <c r="S17" s="2">
        <f>AVERAGEIFS(Data!F:F,Data!B:B,'Data Prep'!$B$3,Data!A:A,'Data Prep'!$B$15,Data!C:C,'Data Prep'!O17)</f>
        <v>62902</v>
      </c>
      <c r="T17" s="11">
        <f t="shared" si="2"/>
        <v>52.717727724587</v>
      </c>
    </row>
    <row r="18" spans="1:20" x14ac:dyDescent="0.3">
      <c r="A18" s="5" t="s">
        <v>79</v>
      </c>
      <c r="B18" s="4" t="str">
        <f>IF(Dashboard!A2=1,'Data Prep'!S2,'Data Prep'!R2)</f>
        <v>Employees per 1000 Capita</v>
      </c>
      <c r="O18" t="s">
        <v>16</v>
      </c>
      <c r="P18" s="1">
        <f>SUMIFS(Data!E:E,Data!B:B,'Data Prep'!$B$3,Data!A:A,'Data Prep'!$B$15,Data!C:C,'Data Prep'!O18)</f>
        <v>131430</v>
      </c>
      <c r="Q18" vm="16">
        <v>4659978</v>
      </c>
      <c r="R18" s="10">
        <f t="shared" si="1"/>
        <v>28.203995812855769</v>
      </c>
      <c r="S18" s="2">
        <f>AVERAGEIFS(Data!F:F,Data!B:B,'Data Prep'!$B$3,Data!A:A,'Data Prep'!$B$15,Data!C:C,'Data Prep'!O18)</f>
        <v>78183</v>
      </c>
      <c r="T18" s="11">
        <f t="shared" si="2"/>
        <v>28.203995812855769</v>
      </c>
    </row>
    <row r="19" spans="1:20" x14ac:dyDescent="0.3">
      <c r="H19" s="5" t="s">
        <v>80</v>
      </c>
      <c r="I19" s="13">
        <f>I16/SUM(I16:I17)</f>
        <v>0.10337558792339149</v>
      </c>
      <c r="O19" t="s">
        <v>17</v>
      </c>
      <c r="P19" s="1">
        <f>SUMIFS(Data!E:E,Data!B:B,'Data Prep'!$B$3,Data!A:A,'Data Prep'!$B$15,Data!C:C,'Data Prep'!O19)</f>
        <v>50166</v>
      </c>
      <c r="Q19" vm="17">
        <v>1338404</v>
      </c>
      <c r="R19" s="10">
        <f t="shared" si="1"/>
        <v>37.481956120872326</v>
      </c>
      <c r="S19" s="2">
        <f>AVERAGEIFS(Data!F:F,Data!B:B,'Data Prep'!$B$3,Data!A:A,'Data Prep'!$B$15,Data!C:C,'Data Prep'!O19)</f>
        <v>61682</v>
      </c>
      <c r="T19" s="11">
        <f t="shared" si="2"/>
        <v>37.481956120872326</v>
      </c>
    </row>
    <row r="20" spans="1:20" x14ac:dyDescent="0.3">
      <c r="O20" t="s">
        <v>18</v>
      </c>
      <c r="P20" s="1">
        <f>SUMIFS(Data!E:E,Data!B:B,'Data Prep'!$B$3,Data!A:A,'Data Prep'!$B$15,Data!C:C,'Data Prep'!O20)</f>
        <v>108500</v>
      </c>
      <c r="Q20" vm="18">
        <v>6042718</v>
      </c>
      <c r="R20" s="10">
        <f t="shared" si="1"/>
        <v>17.955496185656852</v>
      </c>
      <c r="S20" s="2">
        <f>AVERAGEIFS(Data!F:F,Data!B:B,'Data Prep'!$B$3,Data!A:A,'Data Prep'!$B$15,Data!C:C,'Data Prep'!O20)</f>
        <v>85426</v>
      </c>
      <c r="T20" s="11">
        <f t="shared" si="2"/>
        <v>17.955496185656852</v>
      </c>
    </row>
    <row r="21" spans="1:20" x14ac:dyDescent="0.3">
      <c r="O21" t="s">
        <v>19</v>
      </c>
      <c r="P21" s="1">
        <f>SUMIFS(Data!E:E,Data!B:B,'Data Prep'!$B$3,Data!A:A,'Data Prep'!$B$15,Data!C:C,'Data Prep'!O21)</f>
        <v>229741</v>
      </c>
      <c r="Q21" vm="19">
        <v>6902149</v>
      </c>
      <c r="R21" s="10">
        <f t="shared" si="1"/>
        <v>33.285430378277837</v>
      </c>
      <c r="S21" s="2">
        <f>AVERAGEIFS(Data!F:F,Data!B:B,'Data Prep'!$B$3,Data!A:A,'Data Prep'!$B$15,Data!C:C,'Data Prep'!O21)</f>
        <v>96190</v>
      </c>
      <c r="T21" s="11">
        <f t="shared" si="2"/>
        <v>33.285430378277837</v>
      </c>
    </row>
    <row r="22" spans="1:20" x14ac:dyDescent="0.3">
      <c r="O22" t="s">
        <v>20</v>
      </c>
      <c r="P22" s="1">
        <f>SUMIFS(Data!E:E,Data!B:B,'Data Prep'!$B$3,Data!A:A,'Data Prep'!$B$15,Data!C:C,'Data Prep'!O22)</f>
        <v>554767</v>
      </c>
      <c r="Q22" vm="20">
        <v>9995915</v>
      </c>
      <c r="R22" s="10">
        <f t="shared" si="1"/>
        <v>55.499371493254998</v>
      </c>
      <c r="S22" s="2">
        <f>AVERAGEIFS(Data!F:F,Data!B:B,'Data Prep'!$B$3,Data!A:A,'Data Prep'!$B$15,Data!C:C,'Data Prep'!O22)</f>
        <v>70769</v>
      </c>
      <c r="T22" s="11">
        <f t="shared" si="2"/>
        <v>55.499371493254998</v>
      </c>
    </row>
    <row r="23" spans="1:20" x14ac:dyDescent="0.3">
      <c r="O23" t="s">
        <v>21</v>
      </c>
      <c r="P23" s="1">
        <f>SUMIFS(Data!E:E,Data!B:B,'Data Prep'!$B$3,Data!A:A,'Data Prep'!$B$15,Data!C:C,'Data Prep'!O23)</f>
        <v>309006</v>
      </c>
      <c r="Q23" vm="21">
        <v>5611179</v>
      </c>
      <c r="R23" s="10">
        <f t="shared" si="1"/>
        <v>55.069709948657845</v>
      </c>
      <c r="S23" s="2">
        <f>AVERAGEIFS(Data!F:F,Data!B:B,'Data Prep'!$B$3,Data!A:A,'Data Prep'!$B$15,Data!C:C,'Data Prep'!O23)</f>
        <v>70870</v>
      </c>
      <c r="T23" s="11">
        <f t="shared" si="2"/>
        <v>55.069709948657845</v>
      </c>
    </row>
    <row r="24" spans="1:20" x14ac:dyDescent="0.3">
      <c r="O24" t="s">
        <v>22</v>
      </c>
      <c r="P24" s="1">
        <f>SUMIFS(Data!E:E,Data!B:B,'Data Prep'!$B$3,Data!A:A,'Data Prep'!$B$15,Data!C:C,'Data Prep'!O24)</f>
        <v>139480</v>
      </c>
      <c r="Q24" vm="22">
        <v>2963914</v>
      </c>
      <c r="R24" s="10">
        <f t="shared" si="1"/>
        <v>47.059395110654357</v>
      </c>
      <c r="S24" s="2">
        <f>AVERAGEIFS(Data!F:F,Data!B:B,'Data Prep'!$B$3,Data!A:A,'Data Prep'!$B$15,Data!C:C,'Data Prep'!O24)</f>
        <v>51918</v>
      </c>
      <c r="T24" s="11">
        <f t="shared" si="2"/>
        <v>47.059395110654357</v>
      </c>
    </row>
    <row r="25" spans="1:20" x14ac:dyDescent="0.3">
      <c r="O25" t="s">
        <v>23</v>
      </c>
      <c r="P25" s="1">
        <f>SUMIFS(Data!E:E,Data!B:B,'Data Prep'!$B$3,Data!A:A,'Data Prep'!$B$15,Data!C:C,'Data Prep'!O25)</f>
        <v>266452</v>
      </c>
      <c r="Q25" vm="23">
        <v>6126452</v>
      </c>
      <c r="R25" s="10">
        <f t="shared" si="1"/>
        <v>43.492057066634978</v>
      </c>
      <c r="S25" s="2">
        <f>AVERAGEIFS(Data!F:F,Data!B:B,'Data Prep'!$B$3,Data!A:A,'Data Prep'!$B$15,Data!C:C,'Data Prep'!O25)</f>
        <v>61836</v>
      </c>
      <c r="T25" s="11">
        <f t="shared" si="2"/>
        <v>43.492057066634978</v>
      </c>
    </row>
    <row r="26" spans="1:20" x14ac:dyDescent="0.3">
      <c r="O26" t="s">
        <v>24</v>
      </c>
      <c r="P26" s="1">
        <f>SUMIFS(Data!E:E,Data!B:B,'Data Prep'!$B$3,Data!A:A,'Data Prep'!$B$15,Data!C:C,'Data Prep'!O26)</f>
        <v>20421</v>
      </c>
      <c r="Q26" vm="24">
        <v>1062305</v>
      </c>
      <c r="R26" s="10">
        <f t="shared" si="1"/>
        <v>19.223292745492117</v>
      </c>
      <c r="S26" s="2">
        <f>AVERAGEIFS(Data!F:F,Data!B:B,'Data Prep'!$B$3,Data!A:A,'Data Prep'!$B$15,Data!C:C,'Data Prep'!O26)</f>
        <v>54178</v>
      </c>
      <c r="T26" s="11">
        <f t="shared" si="2"/>
        <v>19.223292745492117</v>
      </c>
    </row>
    <row r="27" spans="1:20" x14ac:dyDescent="0.3">
      <c r="O27" t="s">
        <v>25</v>
      </c>
      <c r="P27" s="1">
        <f>SUMIFS(Data!E:E,Data!B:B,'Data Prep'!$B$3,Data!A:A,'Data Prep'!$B$15,Data!C:C,'Data Prep'!O27)</f>
        <v>97530</v>
      </c>
      <c r="Q27" vm="25">
        <v>1929268</v>
      </c>
      <c r="R27" s="10">
        <f t="shared" si="1"/>
        <v>50.552852169838509</v>
      </c>
      <c r="S27" s="2">
        <f>AVERAGEIFS(Data!F:F,Data!B:B,'Data Prep'!$B$3,Data!A:A,'Data Prep'!$B$15,Data!C:C,'Data Prep'!O27)</f>
        <v>56492</v>
      </c>
      <c r="T27" s="11">
        <f t="shared" si="2"/>
        <v>50.552852169838509</v>
      </c>
    </row>
    <row r="28" spans="1:20" x14ac:dyDescent="0.3">
      <c r="O28" t="s">
        <v>26</v>
      </c>
      <c r="P28" s="1">
        <f>SUMIFS(Data!E:E,Data!B:B,'Data Prep'!$B$3,Data!A:A,'Data Prep'!$B$15,Data!C:C,'Data Prep'!O28)</f>
        <v>55673</v>
      </c>
      <c r="Q28" vm="26">
        <v>3034392</v>
      </c>
      <c r="R28" s="10">
        <f t="shared" si="1"/>
        <v>18.34733284295503</v>
      </c>
      <c r="S28" s="2">
        <f>AVERAGEIFS(Data!F:F,Data!B:B,'Data Prep'!$B$3,Data!A:A,'Data Prep'!$B$15,Data!C:C,'Data Prep'!O28)</f>
        <v>66821</v>
      </c>
      <c r="T28" s="11">
        <f t="shared" si="2"/>
        <v>18.34733284295503</v>
      </c>
    </row>
    <row r="29" spans="1:20" x14ac:dyDescent="0.3">
      <c r="O29" t="s">
        <v>27</v>
      </c>
      <c r="P29" s="1">
        <f>SUMIFS(Data!E:E,Data!B:B,'Data Prep'!$B$3,Data!A:A,'Data Prep'!$B$15,Data!C:C,'Data Prep'!O29)</f>
        <v>67282</v>
      </c>
      <c r="Q29" vm="27">
        <v>1356458</v>
      </c>
      <c r="R29" s="10">
        <f t="shared" si="1"/>
        <v>49.601240878818217</v>
      </c>
      <c r="S29" s="2">
        <f>AVERAGEIFS(Data!F:F,Data!B:B,'Data Prep'!$B$3,Data!A:A,'Data Prep'!$B$15,Data!C:C,'Data Prep'!O29)</f>
        <v>77769</v>
      </c>
      <c r="T29" s="11">
        <f t="shared" si="2"/>
        <v>49.601240878818217</v>
      </c>
    </row>
    <row r="30" spans="1:20" x14ac:dyDescent="0.3">
      <c r="O30" t="s">
        <v>28</v>
      </c>
      <c r="P30" s="1">
        <f>SUMIFS(Data!E:E,Data!B:B,'Data Prep'!$B$3,Data!A:A,'Data Prep'!$B$15,Data!C:C,'Data Prep'!O30)</f>
        <v>235850</v>
      </c>
      <c r="Q30" vm="28">
        <v>8908520</v>
      </c>
      <c r="R30" s="10">
        <f t="shared" si="1"/>
        <v>26.474655722836118</v>
      </c>
      <c r="S30" s="2">
        <f>AVERAGEIFS(Data!F:F,Data!B:B,'Data Prep'!$B$3,Data!A:A,'Data Prep'!$B$15,Data!C:C,'Data Prep'!O30)</f>
        <v>86277</v>
      </c>
      <c r="T30" s="11">
        <f t="shared" si="2"/>
        <v>26.474655722836118</v>
      </c>
    </row>
    <row r="31" spans="1:20" x14ac:dyDescent="0.3">
      <c r="O31" t="s">
        <v>29</v>
      </c>
      <c r="P31" s="1">
        <f>SUMIFS(Data!E:E,Data!B:B,'Data Prep'!$B$3,Data!A:A,'Data Prep'!$B$15,Data!C:C,'Data Prep'!O31)</f>
        <v>27201</v>
      </c>
      <c r="Q31" vm="29">
        <v>2095428</v>
      </c>
      <c r="R31" s="10">
        <f t="shared" si="1"/>
        <v>12.981118893133051</v>
      </c>
      <c r="S31" s="2">
        <f>AVERAGEIFS(Data!F:F,Data!B:B,'Data Prep'!$B$3,Data!A:A,'Data Prep'!$B$15,Data!C:C,'Data Prep'!O31)</f>
        <v>58794</v>
      </c>
      <c r="T31" s="11">
        <f t="shared" si="2"/>
        <v>12.981118893133051</v>
      </c>
    </row>
    <row r="32" spans="1:20" x14ac:dyDescent="0.3">
      <c r="O32" t="s">
        <v>30</v>
      </c>
      <c r="P32" s="1">
        <f>SUMIFS(Data!E:E,Data!B:B,'Data Prep'!$B$3,Data!A:A,'Data Prep'!$B$15,Data!C:C,'Data Prep'!O32)</f>
        <v>399337</v>
      </c>
      <c r="Q32" vm="30">
        <v>19542209</v>
      </c>
      <c r="R32" s="10">
        <f t="shared" si="1"/>
        <v>20.434588536024766</v>
      </c>
      <c r="S32" s="2">
        <f>AVERAGEIFS(Data!F:F,Data!B:B,'Data Prep'!$B$3,Data!A:A,'Data Prep'!$B$15,Data!C:C,'Data Prep'!O32)</f>
        <v>73103</v>
      </c>
      <c r="T32" s="11">
        <f t="shared" si="2"/>
        <v>20.434588536024766</v>
      </c>
    </row>
    <row r="33" spans="15:20" x14ac:dyDescent="0.3">
      <c r="O33" t="s">
        <v>31</v>
      </c>
      <c r="P33" s="1">
        <f>SUMIFS(Data!E:E,Data!B:B,'Data Prep'!$B$3,Data!A:A,'Data Prep'!$B$15,Data!C:C,'Data Prep'!O33)</f>
        <v>452637</v>
      </c>
      <c r="Q33" vm="31">
        <v>10383620</v>
      </c>
      <c r="R33" s="10">
        <f t="shared" si="1"/>
        <v>43.591444987393608</v>
      </c>
      <c r="S33" s="2">
        <f>AVERAGEIFS(Data!F:F,Data!B:B,'Data Prep'!$B$3,Data!A:A,'Data Prep'!$B$15,Data!C:C,'Data Prep'!O33)</f>
        <v>63281</v>
      </c>
      <c r="T33" s="11">
        <f t="shared" si="2"/>
        <v>43.591444987393608</v>
      </c>
    </row>
    <row r="34" spans="15:20" x14ac:dyDescent="0.3">
      <c r="O34" t="s">
        <v>32</v>
      </c>
      <c r="P34" s="1">
        <f>SUMIFS(Data!E:E,Data!B:B,'Data Prep'!$B$3,Data!A:A,'Data Prep'!$B$15,Data!C:C,'Data Prep'!O34)</f>
        <v>25259</v>
      </c>
      <c r="Q34" vm="32">
        <v>760077</v>
      </c>
      <c r="R34" s="10">
        <f t="shared" si="1"/>
        <v>33.232159373326652</v>
      </c>
      <c r="S34" s="2">
        <f>AVERAGEIFS(Data!F:F,Data!B:B,'Data Prep'!$B$3,Data!A:A,'Data Prep'!$B$15,Data!C:C,'Data Prep'!O34)</f>
        <v>57695</v>
      </c>
      <c r="T34" s="11">
        <f t="shared" si="2"/>
        <v>33.232159373326652</v>
      </c>
    </row>
    <row r="35" spans="15:20" x14ac:dyDescent="0.3">
      <c r="O35" t="s">
        <v>33</v>
      </c>
      <c r="P35" s="1">
        <f>SUMIFS(Data!E:E,Data!B:B,'Data Prep'!$B$3,Data!A:A,'Data Prep'!$B$15,Data!C:C,'Data Prep'!O35)</f>
        <v>653028</v>
      </c>
      <c r="Q35" vm="33">
        <v>11689442</v>
      </c>
      <c r="R35" s="10">
        <f t="shared" si="1"/>
        <v>55.864770961693466</v>
      </c>
      <c r="S35" s="2">
        <f>AVERAGEIFS(Data!F:F,Data!B:B,'Data Prep'!$B$3,Data!A:A,'Data Prep'!$B$15,Data!C:C,'Data Prep'!O35)</f>
        <v>64995</v>
      </c>
      <c r="T35" s="11">
        <f t="shared" si="2"/>
        <v>55.864770961693466</v>
      </c>
    </row>
    <row r="36" spans="15:20" x14ac:dyDescent="0.3">
      <c r="O36" t="s">
        <v>34</v>
      </c>
      <c r="P36" s="1">
        <f>SUMIFS(Data!E:E,Data!B:B,'Data Prep'!$B$3,Data!A:A,'Data Prep'!$B$15,Data!C:C,'Data Prep'!O36)</f>
        <v>131206</v>
      </c>
      <c r="Q36" vm="34">
        <v>3943079</v>
      </c>
      <c r="R36" s="10">
        <f t="shared" si="1"/>
        <v>33.275011735752692</v>
      </c>
      <c r="S36" s="2">
        <f>AVERAGEIFS(Data!F:F,Data!B:B,'Data Prep'!$B$3,Data!A:A,'Data Prep'!$B$15,Data!C:C,'Data Prep'!O36)</f>
        <v>60915</v>
      </c>
      <c r="T36" s="11">
        <f t="shared" si="2"/>
        <v>33.275011735752692</v>
      </c>
    </row>
    <row r="37" spans="15:20" x14ac:dyDescent="0.3">
      <c r="O37" t="s">
        <v>35</v>
      </c>
      <c r="P37" s="1">
        <f>SUMIFS(Data!E:E,Data!B:B,'Data Prep'!$B$3,Data!A:A,'Data Prep'!$B$15,Data!C:C,'Data Prep'!O37)</f>
        <v>184947</v>
      </c>
      <c r="Q37" vm="35">
        <v>4190713</v>
      </c>
      <c r="R37" s="10">
        <f t="shared" si="1"/>
        <v>44.13258555286415</v>
      </c>
      <c r="S37" s="2">
        <f>AVERAGEIFS(Data!F:F,Data!B:B,'Data Prep'!$B$3,Data!A:A,'Data Prep'!$B$15,Data!C:C,'Data Prep'!O37)</f>
        <v>74927</v>
      </c>
      <c r="T37" s="11">
        <f t="shared" si="2"/>
        <v>44.13258555286415</v>
      </c>
    </row>
    <row r="38" spans="15:20" x14ac:dyDescent="0.3">
      <c r="O38" t="s">
        <v>36</v>
      </c>
      <c r="P38" s="1">
        <f>SUMIFS(Data!E:E,Data!B:B,'Data Prep'!$B$3,Data!A:A,'Data Prep'!$B$15,Data!C:C,'Data Prep'!O38)</f>
        <v>537402</v>
      </c>
      <c r="Q38" vm="36">
        <v>12807060</v>
      </c>
      <c r="R38" s="10">
        <f t="shared" si="1"/>
        <v>41.961386922525548</v>
      </c>
      <c r="S38" s="2">
        <f>AVERAGEIFS(Data!F:F,Data!B:B,'Data Prep'!$B$3,Data!A:A,'Data Prep'!$B$15,Data!C:C,'Data Prep'!O38)</f>
        <v>66931</v>
      </c>
      <c r="T38" s="11">
        <f t="shared" si="2"/>
        <v>41.961386922525548</v>
      </c>
    </row>
    <row r="39" spans="15:20" x14ac:dyDescent="0.3">
      <c r="O39" t="s">
        <v>37</v>
      </c>
      <c r="P39" s="1">
        <f>SUMIFS(Data!E:E,Data!B:B,'Data Prep'!$B$3,Data!A:A,'Data Prep'!$B$15,Data!C:C,'Data Prep'!O39)</f>
        <v>37411</v>
      </c>
      <c r="Q39" vm="37">
        <v>1057315</v>
      </c>
      <c r="R39" s="10">
        <f t="shared" si="1"/>
        <v>35.383022088970648</v>
      </c>
      <c r="S39" s="2">
        <f>AVERAGEIFS(Data!F:F,Data!B:B,'Data Prep'!$B$3,Data!A:A,'Data Prep'!$B$15,Data!C:C,'Data Prep'!O39)</f>
        <v>63645</v>
      </c>
      <c r="T39" s="11">
        <f t="shared" si="2"/>
        <v>35.383022088970648</v>
      </c>
    </row>
    <row r="40" spans="15:20" x14ac:dyDescent="0.3">
      <c r="O40" t="s">
        <v>38</v>
      </c>
      <c r="P40" s="1">
        <f>SUMIFS(Data!E:E,Data!B:B,'Data Prep'!$B$3,Data!A:A,'Data Prep'!$B$15,Data!C:C,'Data Prep'!O40)</f>
        <v>244395</v>
      </c>
      <c r="Q40" vm="38">
        <v>5084127</v>
      </c>
      <c r="R40" s="10">
        <f t="shared" si="1"/>
        <v>48.070199662596941</v>
      </c>
      <c r="S40" s="2">
        <f>AVERAGEIFS(Data!F:F,Data!B:B,'Data Prep'!$B$3,Data!A:A,'Data Prep'!$B$15,Data!C:C,'Data Prep'!O40)</f>
        <v>61779</v>
      </c>
      <c r="T40" s="11">
        <f t="shared" si="2"/>
        <v>48.070199662596941</v>
      </c>
    </row>
    <row r="41" spans="15:20" x14ac:dyDescent="0.3">
      <c r="O41" t="s">
        <v>39</v>
      </c>
      <c r="P41" s="1">
        <f>SUMIFS(Data!E:E,Data!B:B,'Data Prep'!$B$3,Data!A:A,'Data Prep'!$B$15,Data!C:C,'Data Prep'!O41)</f>
        <v>43135</v>
      </c>
      <c r="Q41" vm="39">
        <v>882235</v>
      </c>
      <c r="R41" s="10">
        <f t="shared" si="1"/>
        <v>48.892868680113573</v>
      </c>
      <c r="S41" s="2">
        <f>AVERAGEIFS(Data!F:F,Data!B:B,'Data Prep'!$B$3,Data!A:A,'Data Prep'!$B$15,Data!C:C,'Data Prep'!O41)</f>
        <v>53285</v>
      </c>
      <c r="T41" s="11">
        <f t="shared" si="2"/>
        <v>48.892868680113573</v>
      </c>
    </row>
    <row r="42" spans="15:20" x14ac:dyDescent="0.3">
      <c r="O42" t="s">
        <v>40</v>
      </c>
      <c r="P42" s="1">
        <f>SUMIFS(Data!E:E,Data!B:B,'Data Prep'!$B$3,Data!A:A,'Data Prep'!$B$15,Data!C:C,'Data Prep'!O42)</f>
        <v>334972</v>
      </c>
      <c r="Q42" vm="40">
        <v>6770010</v>
      </c>
      <c r="R42" s="10">
        <f t="shared" si="1"/>
        <v>49.478804314912388</v>
      </c>
      <c r="S42" s="2">
        <f>AVERAGEIFS(Data!F:F,Data!B:B,'Data Prep'!$B$3,Data!A:A,'Data Prep'!$B$15,Data!C:C,'Data Prep'!O42)</f>
        <v>63122</v>
      </c>
      <c r="T42" s="11">
        <f t="shared" si="2"/>
        <v>49.478804314912388</v>
      </c>
    </row>
    <row r="43" spans="15:20" x14ac:dyDescent="0.3">
      <c r="O43" t="s">
        <v>41</v>
      </c>
      <c r="P43" s="1">
        <f>SUMIFS(Data!E:E,Data!B:B,'Data Prep'!$B$3,Data!A:A,'Data Prep'!$B$15,Data!C:C,'Data Prep'!O43)</f>
        <v>867807</v>
      </c>
      <c r="Q43" vm="41">
        <v>28701845</v>
      </c>
      <c r="R43" s="10">
        <f t="shared" si="1"/>
        <v>30.235234006733712</v>
      </c>
      <c r="S43" s="2">
        <f>AVERAGEIFS(Data!F:F,Data!B:B,'Data Prep'!$B$3,Data!A:A,'Data Prep'!$B$15,Data!C:C,'Data Prep'!O43)</f>
        <v>81206</v>
      </c>
      <c r="T43" s="11">
        <f t="shared" si="2"/>
        <v>30.235234006733712</v>
      </c>
    </row>
    <row r="44" spans="15:20" x14ac:dyDescent="0.3">
      <c r="O44" t="s">
        <v>42</v>
      </c>
      <c r="P44" s="1">
        <f>SUMIFS(Data!E:E,Data!B:B,'Data Prep'!$B$3,Data!A:A,'Data Prep'!$B$15,Data!C:C,'Data Prep'!O44)</f>
        <v>135571</v>
      </c>
      <c r="Q44" vm="42">
        <v>3161105</v>
      </c>
      <c r="R44" s="10">
        <f t="shared" si="1"/>
        <v>42.887218235395537</v>
      </c>
      <c r="S44" s="2">
        <f>AVERAGEIFS(Data!F:F,Data!B:B,'Data Prep'!$B$3,Data!A:A,'Data Prep'!$B$15,Data!C:C,'Data Prep'!O44)</f>
        <v>61796</v>
      </c>
      <c r="T44" s="11">
        <f t="shared" si="2"/>
        <v>42.887218235395537</v>
      </c>
    </row>
    <row r="45" spans="15:20" x14ac:dyDescent="0.3">
      <c r="O45" t="s">
        <v>43</v>
      </c>
      <c r="P45" s="1">
        <f>SUMIFS(Data!E:E,Data!B:B,'Data Prep'!$B$3,Data!A:A,'Data Prep'!$B$15,Data!C:C,'Data Prep'!O45)</f>
        <v>28176</v>
      </c>
      <c r="Q45" vm="43">
        <v>626299</v>
      </c>
      <c r="R45" s="10">
        <f t="shared" si="1"/>
        <v>44.988096739736129</v>
      </c>
      <c r="S45" s="2">
        <f>AVERAGEIFS(Data!F:F,Data!B:B,'Data Prep'!$B$3,Data!A:A,'Data Prep'!$B$15,Data!C:C,'Data Prep'!O45)</f>
        <v>62352</v>
      </c>
      <c r="T45" s="11">
        <f t="shared" si="2"/>
        <v>44.988096739736129</v>
      </c>
    </row>
    <row r="46" spans="15:20" x14ac:dyDescent="0.3">
      <c r="O46" t="s">
        <v>44</v>
      </c>
      <c r="P46" s="1">
        <f>SUMIFS(Data!E:E,Data!B:B,'Data Prep'!$B$3,Data!A:A,'Data Prep'!$B$15,Data!C:C,'Data Prep'!O46)</f>
        <v>232300</v>
      </c>
      <c r="Q46" vm="44">
        <v>8517685</v>
      </c>
      <c r="R46" s="10">
        <f t="shared" si="1"/>
        <v>27.272668571331295</v>
      </c>
      <c r="S46" s="2">
        <f>AVERAGEIFS(Data!F:F,Data!B:B,'Data Prep'!$B$3,Data!A:A,'Data Prep'!$B$15,Data!C:C,'Data Prep'!O46)</f>
        <v>63958</v>
      </c>
      <c r="T46" s="11">
        <f t="shared" si="2"/>
        <v>27.272668571331295</v>
      </c>
    </row>
    <row r="47" spans="15:20" x14ac:dyDescent="0.3">
      <c r="O47" t="s">
        <v>45</v>
      </c>
      <c r="P47" s="1">
        <f>SUMIFS(Data!E:E,Data!B:B,'Data Prep'!$B$3,Data!A:A,'Data Prep'!$B$15,Data!C:C,'Data Prep'!O47)</f>
        <v>268553</v>
      </c>
      <c r="Q47" vm="45">
        <v>7614893</v>
      </c>
      <c r="R47" s="10">
        <f t="shared" si="1"/>
        <v>35.266812022178122</v>
      </c>
      <c r="S47" s="2">
        <f>AVERAGEIFS(Data!F:F,Data!B:B,'Data Prep'!$B$3,Data!A:A,'Data Prep'!$B$15,Data!C:C,'Data Prep'!O47)</f>
        <v>82000</v>
      </c>
      <c r="T47" s="11">
        <f t="shared" si="2"/>
        <v>35.266812022178122</v>
      </c>
    </row>
    <row r="48" spans="15:20" x14ac:dyDescent="0.3">
      <c r="O48" t="s">
        <v>46</v>
      </c>
      <c r="P48" s="1">
        <f>SUMIFS(Data!E:E,Data!B:B,'Data Prep'!$B$3,Data!A:A,'Data Prep'!$B$15,Data!C:C,'Data Prep'!O48)</f>
        <v>44429</v>
      </c>
      <c r="Q48" vm="46">
        <v>1805832</v>
      </c>
      <c r="R48" s="10">
        <f t="shared" si="1"/>
        <v>24.60306385090086</v>
      </c>
      <c r="S48" s="2">
        <f>AVERAGEIFS(Data!F:F,Data!B:B,'Data Prep'!$B$3,Data!A:A,'Data Prep'!$B$15,Data!C:C,'Data Prep'!O48)</f>
        <v>62359</v>
      </c>
      <c r="T48" s="11">
        <f t="shared" si="2"/>
        <v>24.60306385090086</v>
      </c>
    </row>
    <row r="49" spans="15:20" x14ac:dyDescent="0.3">
      <c r="O49" t="s">
        <v>47</v>
      </c>
      <c r="P49" s="1">
        <f>SUMIFS(Data!E:E,Data!B:B,'Data Prep'!$B$3,Data!A:A,'Data Prep'!$B$15,Data!C:C,'Data Prep'!O49)</f>
        <v>458262</v>
      </c>
      <c r="Q49" vm="47">
        <v>5813568</v>
      </c>
      <c r="R49" s="10">
        <f t="shared" si="1"/>
        <v>78.826290498365211</v>
      </c>
      <c r="S49" s="2">
        <f>AVERAGEIFS(Data!F:F,Data!B:B,'Data Prep'!$B$3,Data!A:A,'Data Prep'!$B$15,Data!C:C,'Data Prep'!O49)</f>
        <v>61039</v>
      </c>
      <c r="T49" s="11">
        <f t="shared" si="2"/>
        <v>78.826290498365211</v>
      </c>
    </row>
    <row r="50" spans="15:20" x14ac:dyDescent="0.3">
      <c r="O50" t="s">
        <v>48</v>
      </c>
      <c r="P50" s="1">
        <f>SUMIFS(Data!E:E,Data!B:B,'Data Prep'!$B$3,Data!A:A,'Data Prep'!$B$15,Data!C:C,'Data Prep'!O50)</f>
        <v>9580</v>
      </c>
      <c r="Q50" vm="48">
        <v>577737</v>
      </c>
      <c r="R50" s="10">
        <f t="shared" si="1"/>
        <v>16.581939533040121</v>
      </c>
      <c r="S50" s="2">
        <f>AVERAGEIFS(Data!F:F,Data!B:B,'Data Prep'!$B$3,Data!A:A,'Data Prep'!$B$15,Data!C:C,'Data Prep'!O50)</f>
        <v>70308</v>
      </c>
      <c r="T50" s="11">
        <f t="shared" si="2"/>
        <v>16.581939533040121</v>
      </c>
    </row>
  </sheetData>
  <sortState xmlns:xlrd2="http://schemas.microsoft.com/office/spreadsheetml/2017/richdata2" ref="H2:I12">
    <sortCondition descending="1" ref="I2:I1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6C21-9A78-4BA7-8A8B-6FC7EEC60075}">
  <dimension ref="A1:R43"/>
  <sheetViews>
    <sheetView showGridLines="0" tabSelected="1" zoomScale="59" zoomScaleNormal="52" workbookViewId="0">
      <selection activeCell="O6" sqref="O6"/>
    </sheetView>
  </sheetViews>
  <sheetFormatPr defaultColWidth="0" defaultRowHeight="14.4" zeroHeight="1" x14ac:dyDescent="0.3"/>
  <cols>
    <col min="1" max="1" width="6.5546875" customWidth="1"/>
    <col min="2" max="2" width="49.5546875" customWidth="1"/>
    <col min="3" max="8" width="9.109375" customWidth="1"/>
    <col min="9" max="9" width="3.6640625" customWidth="1"/>
    <col min="10" max="10" width="2.5546875" customWidth="1"/>
    <col min="11" max="11" width="8.33203125" customWidth="1"/>
    <col min="12" max="13" width="9.109375" customWidth="1"/>
    <col min="14" max="14" width="36.88671875" bestFit="1" customWidth="1"/>
    <col min="15" max="17" width="9.109375" customWidth="1"/>
    <col min="18" max="18" width="3.109375" customWidth="1"/>
    <col min="19" max="16384" width="9.109375" hidden="1"/>
  </cols>
  <sheetData>
    <row r="1" spans="1:2" x14ac:dyDescent="0.3">
      <c r="A1" s="14">
        <v>7</v>
      </c>
    </row>
    <row r="2" spans="1:2" x14ac:dyDescent="0.3">
      <c r="A2" s="14">
        <v>2</v>
      </c>
    </row>
    <row r="3" spans="1:2" x14ac:dyDescent="0.3"/>
    <row r="4" spans="1:2" x14ac:dyDescent="0.3"/>
    <row r="5" spans="1:2" x14ac:dyDescent="0.3"/>
    <row r="6" spans="1:2" ht="31.2" x14ac:dyDescent="0.6">
      <c r="B6" s="12" t="str" cm="1">
        <f t="array" ref="B6">INDEX('Data Prep'!D3:D12,11-Dashboard!A1)</f>
        <v>Manufacturing</v>
      </c>
    </row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  <row r="43" customFormat="1" hidden="1" x14ac:dyDescent="0.3"/>
  </sheetData>
  <sheetProtection selectLockedCells="1" selectUnlockedCells="1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2</xdr:col>
                    <xdr:colOff>502920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11</xdr:col>
                    <xdr:colOff>495300</xdr:colOff>
                    <xdr:row>9</xdr:row>
                    <xdr:rowOff>45720</xdr:rowOff>
                  </from>
                  <to>
                    <xdr:col>13</xdr:col>
                    <xdr:colOff>1447800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13</xdr:col>
                    <xdr:colOff>1485900</xdr:colOff>
                    <xdr:row>9</xdr:row>
                    <xdr:rowOff>0</xdr:rowOff>
                  </from>
                  <to>
                    <xdr:col>14</xdr:col>
                    <xdr:colOff>533400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richik dutta</cp:lastModifiedBy>
  <dcterms:created xsi:type="dcterms:W3CDTF">2021-09-21T20:47:02Z</dcterms:created>
  <dcterms:modified xsi:type="dcterms:W3CDTF">2026-05-19T07:30:18Z</dcterms:modified>
</cp:coreProperties>
</file>